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8C4F1C90-05EB-6A55-5F09-09C24B55AC0B}"/>
  <workbookPr filterPrivacy="1" codeName="ThisWorkbook" defaultThemeVersion="124226"/>
  <bookViews>
    <workbookView xWindow="-12" yWindow="372" windowWidth="12948" windowHeight="8892"/>
  </bookViews>
  <sheets>
    <sheet name="A区" sheetId="1" r:id="rId1"/>
    <sheet name="工位附件" sheetId="3" r:id="rId2"/>
  </sheets>
  <definedNames>
    <definedName name="_xlnm._FilterDatabase" localSheetId="0" hidden="1">A区!$A$1:$P$421</definedName>
    <definedName name="_xlnm._FilterDatabase" localSheetId="1" hidden="1">工位附件!$A$2:$F$184</definedName>
    <definedName name="CO2焊房">工位附件!$D$159:$D$160</definedName>
    <definedName name="MB1线">工位附件!$D$96:$D$106</definedName>
    <definedName name="MB2线">工位附件!$D$107:$D$112</definedName>
    <definedName name="_xlnm.Print_Area" localSheetId="0">A区!$A$1:$M$163</definedName>
    <definedName name="UB线">工位附件!$D$88:$D$95</definedName>
    <definedName name="顶盖">工位附件!$D$114:$D$115</definedName>
    <definedName name="发盖">工位附件!$D$126:$D$130</definedName>
    <definedName name="行李箱盖">工位附件!$D$116:$D$125</definedName>
    <definedName name="后地板分装线">工位附件!$D$18:$D$31</definedName>
    <definedName name="机舱自动线">工位附件!$D$80:$D$87</definedName>
    <definedName name="前地板分装线">工位附件!$D$3:$D$9</definedName>
    <definedName name="前围板分装线">工位附件!$D$10:$D$17</definedName>
    <definedName name="前纵梁线">工位附件!$D$32:$D$39</definedName>
    <definedName name="右侧围分装线">工位附件!$D$51:$D$61</definedName>
    <definedName name="右侧围自动线">工位附件!$D$71:$D$79</definedName>
    <definedName name="右后门">工位附件!$D$152:$D$158</definedName>
    <definedName name="右前门">工位附件!$D$138:$D$144</definedName>
    <definedName name="左侧围分装线">工位附件!$D$40:$D$50</definedName>
    <definedName name="左侧围自动线">工位附件!$D$62:$D$70</definedName>
    <definedName name="左后门">工位附件!$D$145:$D$151</definedName>
    <definedName name="左前门">工位附件!$D$131:$D$137</definedName>
  </definedNames>
  <calcPr calcId="152511"/>
</workbook>
</file>

<file path=xl/calcChain.xml><?xml version="1.0" encoding="utf-8"?>
<calcChain xmlns="http://schemas.openxmlformats.org/spreadsheetml/2006/main">
  <c r="B17" i="1" l="1"/>
  <c r="B18" i="1"/>
  <c r="B19" i="1"/>
  <c r="B25" i="1"/>
  <c r="B30" i="1"/>
  <c r="B36" i="1"/>
  <c r="B40" i="1"/>
  <c r="B44" i="1"/>
  <c r="B46" i="1"/>
  <c r="B49" i="1"/>
  <c r="B55" i="1"/>
  <c r="B58" i="1"/>
  <c r="B60" i="1"/>
  <c r="B62" i="1"/>
  <c r="B64" i="1"/>
  <c r="B67" i="1"/>
  <c r="B69" i="1"/>
  <c r="B71" i="1"/>
  <c r="B73" i="1"/>
  <c r="B79" i="1"/>
  <c r="B83" i="1"/>
  <c r="B85" i="1"/>
  <c r="B86" i="1"/>
  <c r="B87" i="1"/>
  <c r="B91" i="1"/>
  <c r="B93" i="1"/>
  <c r="B95" i="1"/>
  <c r="B97" i="1"/>
  <c r="B101" i="1"/>
  <c r="B104" i="1"/>
  <c r="B106" i="1"/>
  <c r="B113" i="1"/>
  <c r="B117" i="1"/>
  <c r="B119" i="1"/>
  <c r="B122" i="1"/>
  <c r="B124" i="1"/>
  <c r="B127" i="1"/>
  <c r="B129" i="1"/>
  <c r="B130" i="1"/>
  <c r="B131" i="1"/>
  <c r="B133" i="1"/>
  <c r="B137" i="1"/>
  <c r="B139" i="1"/>
  <c r="B141" i="1"/>
  <c r="B145" i="1"/>
  <c r="B149" i="1"/>
  <c r="B150" i="1"/>
  <c r="B153" i="1"/>
  <c r="B157" i="1"/>
  <c r="B158" i="1"/>
  <c r="B161" i="1"/>
  <c r="B165" i="1"/>
  <c r="B172" i="1"/>
  <c r="B173" i="1"/>
  <c r="B177" i="1"/>
  <c r="B179" i="1"/>
  <c r="B181" i="1"/>
  <c r="B183" i="1"/>
  <c r="B186" i="1"/>
  <c r="B188" i="1"/>
  <c r="B191" i="1"/>
  <c r="B194" i="1"/>
  <c r="B197" i="1"/>
  <c r="B201" i="1"/>
  <c r="B205" i="1"/>
  <c r="B210" i="1"/>
  <c r="B212" i="1"/>
  <c r="B214" i="1"/>
  <c r="B216" i="1"/>
  <c r="B219" i="1"/>
  <c r="B221" i="1"/>
  <c r="B222" i="1"/>
  <c r="B224" i="1"/>
  <c r="B227" i="1"/>
  <c r="B230" i="1"/>
  <c r="B233" i="1"/>
  <c r="B234" i="1"/>
  <c r="B236" i="1"/>
  <c r="B240" i="1"/>
  <c r="B243" i="1"/>
  <c r="B246" i="1"/>
  <c r="B249" i="1"/>
  <c r="B253" i="1"/>
  <c r="B256" i="1"/>
  <c r="B258" i="1"/>
  <c r="B263" i="1"/>
  <c r="B273" i="1"/>
  <c r="B277" i="1"/>
  <c r="B281" i="1"/>
  <c r="B287" i="1"/>
  <c r="B291" i="1"/>
  <c r="B295" i="1"/>
  <c r="B299" i="1"/>
  <c r="B303" i="1"/>
  <c r="B307" i="1"/>
  <c r="B311" i="1"/>
  <c r="B317" i="1"/>
  <c r="B320" i="1"/>
  <c r="B323" i="1"/>
  <c r="B326" i="1"/>
  <c r="B330" i="1"/>
  <c r="B331" i="1"/>
  <c r="B333" i="1"/>
  <c r="B334" i="1"/>
  <c r="B336" i="1"/>
  <c r="B339" i="1"/>
  <c r="B343" i="1"/>
  <c r="B348" i="1"/>
  <c r="B351" i="1"/>
  <c r="B353" i="1"/>
  <c r="B356" i="1"/>
  <c r="B357" i="1"/>
  <c r="B360" i="1"/>
  <c r="B361" i="1"/>
  <c r="B363" i="1"/>
  <c r="B366" i="1"/>
  <c r="B370" i="1"/>
  <c r="B371" i="1"/>
  <c r="B375" i="1"/>
  <c r="B380" i="1"/>
  <c r="B381" i="1"/>
  <c r="B383" i="1"/>
  <c r="B388" i="1"/>
  <c r="B392" i="1"/>
  <c r="B394" i="1"/>
  <c r="B398" i="1"/>
  <c r="B399" i="1"/>
  <c r="B402" i="1"/>
  <c r="B405" i="1"/>
  <c r="B407" i="1"/>
  <c r="B410" i="1"/>
  <c r="B411" i="1"/>
  <c r="B415" i="1"/>
  <c r="B419" i="1"/>
  <c r="B10" i="1"/>
  <c r="B12" i="1"/>
  <c r="B13" i="1"/>
  <c r="B5" i="1"/>
  <c r="B7" i="1"/>
  <c r="B8" i="1"/>
  <c r="B9" i="1"/>
  <c r="A3" i="1"/>
  <c r="A6" i="1"/>
  <c r="B6" i="1" s="1"/>
  <c r="A8" i="1"/>
  <c r="A9" i="1" s="1"/>
  <c r="A11" i="1"/>
  <c r="B11" i="1" s="1"/>
  <c r="A13" i="1"/>
  <c r="A14" i="1"/>
  <c r="A18" i="1"/>
  <c r="A20" i="1"/>
  <c r="A26" i="1"/>
  <c r="B26" i="1" s="1"/>
  <c r="A27" i="1"/>
  <c r="A31" i="1"/>
  <c r="B31" i="1" s="1"/>
  <c r="A37" i="1"/>
  <c r="B37" i="1" s="1"/>
  <c r="A38" i="1"/>
  <c r="A39" i="1" s="1"/>
  <c r="B39" i="1" s="1"/>
  <c r="A41" i="1"/>
  <c r="B41" i="1" s="1"/>
  <c r="A42" i="1"/>
  <c r="A45" i="1"/>
  <c r="A46" i="1" s="1"/>
  <c r="A47" i="1" s="1"/>
  <c r="A48" i="1" s="1"/>
  <c r="B48" i="1" s="1"/>
  <c r="A50" i="1"/>
  <c r="A51" i="1" s="1"/>
  <c r="A56" i="1"/>
  <c r="A59" i="1"/>
  <c r="B59" i="1" s="1"/>
  <c r="A61" i="1"/>
  <c r="B61" i="1" s="1"/>
  <c r="A63" i="1"/>
  <c r="B63" i="1" s="1"/>
  <c r="A65" i="1"/>
  <c r="A68" i="1"/>
  <c r="B68" i="1" s="1"/>
  <c r="A70" i="1"/>
  <c r="B70" i="1" s="1"/>
  <c r="A72" i="1"/>
  <c r="B72" i="1" s="1"/>
  <c r="A74" i="1"/>
  <c r="B74" i="1" s="1"/>
  <c r="A75" i="1"/>
  <c r="A80" i="1"/>
  <c r="A84" i="1"/>
  <c r="B84" i="1" s="1"/>
  <c r="A86" i="1"/>
  <c r="A88" i="1"/>
  <c r="B88" i="1" s="1"/>
  <c r="A92" i="1"/>
  <c r="B92" i="1" s="1"/>
  <c r="A94" i="1"/>
  <c r="B94" i="1" s="1"/>
  <c r="A96" i="1"/>
  <c r="B96" i="1" s="1"/>
  <c r="A98" i="1"/>
  <c r="A102" i="1"/>
  <c r="B102" i="1" s="1"/>
  <c r="A105" i="1"/>
  <c r="B105" i="1" s="1"/>
  <c r="A107" i="1"/>
  <c r="B107" i="1" s="1"/>
  <c r="A108" i="1"/>
  <c r="B108" i="1" s="1"/>
  <c r="A114" i="1"/>
  <c r="B114" i="1" s="1"/>
  <c r="A115" i="1"/>
  <c r="A118" i="1"/>
  <c r="B118" i="1" s="1"/>
  <c r="A120" i="1"/>
  <c r="A123" i="1"/>
  <c r="B123" i="1" s="1"/>
  <c r="A125" i="1"/>
  <c r="B125" i="1" s="1"/>
  <c r="A126" i="1"/>
  <c r="B126" i="1" s="1"/>
  <c r="A128" i="1"/>
  <c r="B128" i="1" s="1"/>
  <c r="A130" i="1"/>
  <c r="A132" i="1"/>
  <c r="B132" i="1" s="1"/>
  <c r="A134" i="1"/>
  <c r="A138" i="1"/>
  <c r="B138" i="1" s="1"/>
  <c r="A140" i="1"/>
  <c r="B140" i="1" s="1"/>
  <c r="A142" i="1"/>
  <c r="A146" i="1"/>
  <c r="B146" i="1" s="1"/>
  <c r="A147" i="1"/>
  <c r="A150" i="1"/>
  <c r="A151" i="1"/>
  <c r="A154" i="1"/>
  <c r="B154" i="1" s="1"/>
  <c r="A158" i="1"/>
  <c r="A159" i="1" s="1"/>
  <c r="A162" i="1"/>
  <c r="B162" i="1" s="1"/>
  <c r="A166" i="1"/>
  <c r="A173" i="1"/>
  <c r="A174" i="1" s="1"/>
  <c r="A175" i="1" s="1"/>
  <c r="A178" i="1"/>
  <c r="B178" i="1" s="1"/>
  <c r="A180" i="1"/>
  <c r="B180" i="1" s="1"/>
  <c r="A182" i="1"/>
  <c r="B182" i="1" s="1"/>
  <c r="A184" i="1"/>
  <c r="B184" i="1" s="1"/>
  <c r="A185" i="1"/>
  <c r="B185" i="1" s="1"/>
  <c r="A187" i="1"/>
  <c r="B187" i="1" s="1"/>
  <c r="A189" i="1"/>
  <c r="B189" i="1" s="1"/>
  <c r="A192" i="1"/>
  <c r="A195" i="1"/>
  <c r="B195" i="1" s="1"/>
  <c r="A196" i="1"/>
  <c r="B196" i="1" s="1"/>
  <c r="A198" i="1"/>
  <c r="A199" i="1" s="1"/>
  <c r="A202" i="1"/>
  <c r="A206" i="1"/>
  <c r="A207" i="1" s="1"/>
  <c r="B207" i="1" s="1"/>
  <c r="A211" i="1"/>
  <c r="B211" i="1" s="1"/>
  <c r="A213" i="1"/>
  <c r="B213" i="1" s="1"/>
  <c r="A215" i="1"/>
  <c r="B215" i="1" s="1"/>
  <c r="A217" i="1"/>
  <c r="A220" i="1"/>
  <c r="B220" i="1" s="1"/>
  <c r="A222" i="1"/>
  <c r="A223" i="1" s="1"/>
  <c r="B223" i="1" s="1"/>
  <c r="A225" i="1"/>
  <c r="A228" i="1"/>
  <c r="A231" i="1"/>
  <c r="B231" i="1" s="1"/>
  <c r="A232" i="1"/>
  <c r="B232" i="1" s="1"/>
  <c r="A234" i="1"/>
  <c r="A235" i="1" s="1"/>
  <c r="B235" i="1" s="1"/>
  <c r="A237" i="1"/>
  <c r="B237" i="1" s="1"/>
  <c r="A241" i="1"/>
  <c r="B241" i="1" s="1"/>
  <c r="A242" i="1"/>
  <c r="B242" i="1" s="1"/>
  <c r="A244" i="1"/>
  <c r="B244" i="1" s="1"/>
  <c r="A245" i="1"/>
  <c r="B245" i="1" s="1"/>
  <c r="A247" i="1"/>
  <c r="B247" i="1" s="1"/>
  <c r="A248" i="1"/>
  <c r="B248" i="1" s="1"/>
  <c r="A250" i="1"/>
  <c r="B250" i="1" s="1"/>
  <c r="A251" i="1"/>
  <c r="A254" i="1"/>
  <c r="B254" i="1" s="1"/>
  <c r="A255" i="1"/>
  <c r="B255" i="1" s="1"/>
  <c r="A257" i="1"/>
  <c r="A258" i="1" s="1"/>
  <c r="A259" i="1" s="1"/>
  <c r="A264" i="1"/>
  <c r="A274" i="1"/>
  <c r="B274" i="1" s="1"/>
  <c r="A275" i="1"/>
  <c r="A278" i="1"/>
  <c r="B278" i="1" s="1"/>
  <c r="A279" i="1"/>
  <c r="B279" i="1" s="1"/>
  <c r="A282" i="1"/>
  <c r="A288" i="1"/>
  <c r="A292" i="1"/>
  <c r="B292" i="1" s="1"/>
  <c r="A293" i="1"/>
  <c r="A296" i="1"/>
  <c r="A300" i="1"/>
  <c r="B300" i="1" s="1"/>
  <c r="A301" i="1"/>
  <c r="A304" i="1"/>
  <c r="B304" i="1" s="1"/>
  <c r="A305" i="1"/>
  <c r="B305" i="1" s="1"/>
  <c r="A306" i="1"/>
  <c r="B306" i="1" s="1"/>
  <c r="A308" i="1"/>
  <c r="A312" i="1"/>
  <c r="A318" i="1"/>
  <c r="A321" i="1"/>
  <c r="B321" i="1" s="1"/>
  <c r="A322" i="1"/>
  <c r="A323" i="1" s="1"/>
  <c r="A324" i="1" s="1"/>
  <c r="A327" i="1"/>
  <c r="A332" i="1"/>
  <c r="B332" i="1" s="1"/>
  <c r="A334" i="1"/>
  <c r="A335" i="1" s="1"/>
  <c r="B335" i="1" s="1"/>
  <c r="A337" i="1"/>
  <c r="B337" i="1" s="1"/>
  <c r="A338" i="1"/>
  <c r="B338" i="1" s="1"/>
  <c r="A340" i="1"/>
  <c r="A344" i="1"/>
  <c r="B344" i="1" s="1"/>
  <c r="A345" i="1"/>
  <c r="A346" i="1" s="1"/>
  <c r="A347" i="1" s="1"/>
  <c r="B347" i="1" s="1"/>
  <c r="A349" i="1"/>
  <c r="A352" i="1"/>
  <c r="B352" i="1" s="1"/>
  <c r="A353" i="1"/>
  <c r="A354" i="1"/>
  <c r="A357" i="1"/>
  <c r="A358" i="1"/>
  <c r="B358" i="1" s="1"/>
  <c r="A359" i="1"/>
  <c r="B359" i="1" s="1"/>
  <c r="A361" i="1"/>
  <c r="A362" i="1" s="1"/>
  <c r="A363" i="1" s="1"/>
  <c r="A364" i="1" s="1"/>
  <c r="A367" i="1"/>
  <c r="B367" i="1" s="1"/>
  <c r="A368" i="1"/>
  <c r="B368" i="1" s="1"/>
  <c r="A369" i="1"/>
  <c r="B369" i="1" s="1"/>
  <c r="A371" i="1"/>
  <c r="A372" i="1" s="1"/>
  <c r="A376" i="1"/>
  <c r="A381" i="1"/>
  <c r="A382" i="1" s="1"/>
  <c r="B382" i="1" s="1"/>
  <c r="A384" i="1"/>
  <c r="A389" i="1"/>
  <c r="B389" i="1" s="1"/>
  <c r="A390" i="1"/>
  <c r="A391" i="1" s="1"/>
  <c r="B391" i="1" s="1"/>
  <c r="A393" i="1"/>
  <c r="B393" i="1" s="1"/>
  <c r="A394" i="1"/>
  <c r="A395" i="1"/>
  <c r="A399" i="1"/>
  <c r="A400" i="1"/>
  <c r="B400" i="1" s="1"/>
  <c r="A401" i="1"/>
  <c r="B401" i="1" s="1"/>
  <c r="A403" i="1"/>
  <c r="B403" i="1" s="1"/>
  <c r="A404" i="1"/>
  <c r="B404" i="1" s="1"/>
  <c r="A405" i="1"/>
  <c r="A406" i="1"/>
  <c r="B406" i="1" s="1"/>
  <c r="A408" i="1"/>
  <c r="B408" i="1" s="1"/>
  <c r="A409" i="1"/>
  <c r="B409" i="1" s="1"/>
  <c r="A410" i="1"/>
  <c r="A412" i="1"/>
  <c r="A416" i="1"/>
  <c r="B416" i="1" s="1"/>
  <c r="A417" i="1"/>
  <c r="A418" i="1" s="1"/>
  <c r="B418" i="1" s="1"/>
  <c r="A420" i="1"/>
  <c r="B420" i="1" s="1"/>
  <c r="A421" i="1"/>
  <c r="B421" i="1" s="1"/>
  <c r="B2" i="1"/>
  <c r="B384" i="1" l="1"/>
  <c r="A385" i="1"/>
  <c r="B288" i="1"/>
  <c r="A289" i="1"/>
  <c r="A276" i="1"/>
  <c r="B276" i="1" s="1"/>
  <c r="B275" i="1"/>
  <c r="B349" i="1"/>
  <c r="A350" i="1"/>
  <c r="B350" i="1" s="1"/>
  <c r="A328" i="1"/>
  <c r="B327" i="1"/>
  <c r="B293" i="1"/>
  <c r="A294" i="1"/>
  <c r="B294" i="1" s="1"/>
  <c r="B264" i="1"/>
  <c r="A265" i="1"/>
  <c r="A252" i="1"/>
  <c r="B252" i="1" s="1"/>
  <c r="B251" i="1"/>
  <c r="A167" i="1"/>
  <c r="B166" i="1"/>
  <c r="B134" i="1"/>
  <c r="A135" i="1"/>
  <c r="A99" i="1"/>
  <c r="B98" i="1"/>
  <c r="B390" i="1"/>
  <c r="B225" i="1"/>
  <c r="A226" i="1"/>
  <c r="B226" i="1" s="1"/>
  <c r="B395" i="1"/>
  <c r="A396" i="1"/>
  <c r="B354" i="1"/>
  <c r="A355" i="1"/>
  <c r="B355" i="1" s="1"/>
  <c r="B308" i="1"/>
  <c r="A309" i="1"/>
  <c r="A302" i="1"/>
  <c r="B302" i="1" s="1"/>
  <c r="B301" i="1"/>
  <c r="B217" i="1"/>
  <c r="A218" i="1"/>
  <c r="B218" i="1" s="1"/>
  <c r="A208" i="1"/>
  <c r="B151" i="1"/>
  <c r="A152" i="1"/>
  <c r="B152" i="1" s="1"/>
  <c r="A143" i="1"/>
  <c r="B142" i="1"/>
  <c r="B42" i="1"/>
  <c r="A43" i="1"/>
  <c r="B43" i="1" s="1"/>
  <c r="A413" i="1"/>
  <c r="B412" i="1"/>
  <c r="B56" i="1"/>
  <c r="A57" i="1"/>
  <c r="B57" i="1" s="1"/>
  <c r="B318" i="1"/>
  <c r="A319" i="1"/>
  <c r="B319" i="1" s="1"/>
  <c r="B282" i="1"/>
  <c r="A283" i="1"/>
  <c r="B202" i="1"/>
  <c r="A203" i="1"/>
  <c r="A193" i="1"/>
  <c r="B193" i="1" s="1"/>
  <c r="B192" i="1"/>
  <c r="B120" i="1"/>
  <c r="A121" i="1"/>
  <c r="B121" i="1" s="1"/>
  <c r="B27" i="1"/>
  <c r="A28" i="1"/>
  <c r="A15" i="1"/>
  <c r="B14" i="1"/>
  <c r="A377" i="1"/>
  <c r="B376" i="1"/>
  <c r="A229" i="1"/>
  <c r="B229" i="1" s="1"/>
  <c r="B228" i="1"/>
  <c r="A116" i="1"/>
  <c r="B116" i="1" s="1"/>
  <c r="B115" i="1"/>
  <c r="A21" i="1"/>
  <c r="B20" i="1"/>
  <c r="A373" i="1"/>
  <c r="B372" i="1"/>
  <c r="A365" i="1"/>
  <c r="B365" i="1" s="1"/>
  <c r="B364" i="1"/>
  <c r="A341" i="1"/>
  <c r="B340" i="1"/>
  <c r="A160" i="1"/>
  <c r="B160" i="1" s="1"/>
  <c r="B159" i="1"/>
  <c r="A66" i="1"/>
  <c r="B66" i="1" s="1"/>
  <c r="B65" i="1"/>
  <c r="B417" i="1"/>
  <c r="B362" i="1"/>
  <c r="B345" i="1"/>
  <c r="B206" i="1"/>
  <c r="B198" i="1"/>
  <c r="B174" i="1"/>
  <c r="B50" i="1"/>
  <c r="A325" i="1"/>
  <c r="B325" i="1" s="1"/>
  <c r="B324" i="1"/>
  <c r="A313" i="1"/>
  <c r="B312" i="1"/>
  <c r="A280" i="1"/>
  <c r="B280" i="1" s="1"/>
  <c r="A260" i="1"/>
  <c r="B259" i="1"/>
  <c r="A238" i="1"/>
  <c r="A200" i="1"/>
  <c r="B200" i="1" s="1"/>
  <c r="B199" i="1"/>
  <c r="A190" i="1"/>
  <c r="B190" i="1" s="1"/>
  <c r="A176" i="1"/>
  <c r="B176" i="1" s="1"/>
  <c r="B175" i="1"/>
  <c r="A163" i="1"/>
  <c r="A155" i="1"/>
  <c r="A109" i="1"/>
  <c r="A103" i="1"/>
  <c r="B103" i="1" s="1"/>
  <c r="A89" i="1"/>
  <c r="A81" i="1"/>
  <c r="B80" i="1"/>
  <c r="A52" i="1"/>
  <c r="B51" i="1"/>
  <c r="A32" i="1"/>
  <c r="A4" i="1"/>
  <c r="B4" i="1" s="1"/>
  <c r="B3" i="1"/>
  <c r="B322" i="1"/>
  <c r="B257" i="1"/>
  <c r="B38" i="1"/>
  <c r="A297" i="1"/>
  <c r="B296" i="1"/>
  <c r="A148" i="1"/>
  <c r="B148" i="1" s="1"/>
  <c r="B147" i="1"/>
  <c r="A76" i="1"/>
  <c r="B75" i="1"/>
  <c r="B346" i="1"/>
  <c r="B45" i="1"/>
  <c r="B47" i="1"/>
  <c r="A22" i="1" l="1"/>
  <c r="B21" i="1"/>
  <c r="B32" i="1"/>
  <c r="A33" i="1"/>
  <c r="A82" i="1"/>
  <c r="B82" i="1" s="1"/>
  <c r="B81" i="1"/>
  <c r="B155" i="1"/>
  <c r="A156" i="1"/>
  <c r="B156" i="1" s="1"/>
  <c r="A314" i="1"/>
  <c r="B313" i="1"/>
  <c r="A204" i="1"/>
  <c r="B204" i="1" s="1"/>
  <c r="B203" i="1"/>
  <c r="A209" i="1"/>
  <c r="B209" i="1" s="1"/>
  <c r="B208" i="1"/>
  <c r="A136" i="1"/>
  <c r="B136" i="1" s="1"/>
  <c r="B135" i="1"/>
  <c r="A290" i="1"/>
  <c r="B290" i="1" s="1"/>
  <c r="B289" i="1"/>
  <c r="A16" i="1"/>
  <c r="B16" i="1" s="1"/>
  <c r="B15" i="1"/>
  <c r="B89" i="1"/>
  <c r="A90" i="1"/>
  <c r="B90" i="1" s="1"/>
  <c r="A164" i="1"/>
  <c r="B164" i="1" s="1"/>
  <c r="B163" i="1"/>
  <c r="A414" i="1"/>
  <c r="B414" i="1" s="1"/>
  <c r="B413" i="1"/>
  <c r="A144" i="1"/>
  <c r="B144" i="1" s="1"/>
  <c r="B143" i="1"/>
  <c r="A310" i="1"/>
  <c r="B310" i="1" s="1"/>
  <c r="B309" i="1"/>
  <c r="A397" i="1"/>
  <c r="B397" i="1" s="1"/>
  <c r="B396" i="1"/>
  <c r="A77" i="1"/>
  <c r="B76" i="1"/>
  <c r="A298" i="1"/>
  <c r="B298" i="1" s="1"/>
  <c r="B297" i="1"/>
  <c r="A53" i="1"/>
  <c r="B52" i="1"/>
  <c r="B28" i="1"/>
  <c r="A29" i="1"/>
  <c r="B29" i="1" s="1"/>
  <c r="B283" i="1"/>
  <c r="A284" i="1"/>
  <c r="A266" i="1"/>
  <c r="B265" i="1"/>
  <c r="B385" i="1"/>
  <c r="A386" i="1"/>
  <c r="A261" i="1"/>
  <c r="B260" i="1"/>
  <c r="B109" i="1"/>
  <c r="A110" i="1"/>
  <c r="B238" i="1"/>
  <c r="A239" i="1"/>
  <c r="B239" i="1" s="1"/>
  <c r="A342" i="1"/>
  <c r="B342" i="1" s="1"/>
  <c r="B341" i="1"/>
  <c r="A374" i="1"/>
  <c r="B374" i="1" s="1"/>
  <c r="B373" i="1"/>
  <c r="A378" i="1"/>
  <c r="B377" i="1"/>
  <c r="A100" i="1"/>
  <c r="B100" i="1" s="1"/>
  <c r="B99" i="1"/>
  <c r="B167" i="1"/>
  <c r="A168" i="1"/>
  <c r="A329" i="1"/>
  <c r="B329" i="1" s="1"/>
  <c r="B328" i="1"/>
  <c r="B33" i="1" l="1"/>
  <c r="A34" i="1"/>
  <c r="A267" i="1"/>
  <c r="B266" i="1"/>
  <c r="A169" i="1"/>
  <c r="B168" i="1"/>
  <c r="A111" i="1"/>
  <c r="B110" i="1"/>
  <c r="A387" i="1"/>
  <c r="B387" i="1" s="1"/>
  <c r="B386" i="1"/>
  <c r="B284" i="1"/>
  <c r="A285" i="1"/>
  <c r="A262" i="1"/>
  <c r="B262" i="1" s="1"/>
  <c r="B261" i="1"/>
  <c r="A379" i="1"/>
  <c r="B379" i="1" s="1"/>
  <c r="B378" i="1"/>
  <c r="A54" i="1"/>
  <c r="B54" i="1" s="1"/>
  <c r="B53" i="1"/>
  <c r="A78" i="1"/>
  <c r="B78" i="1" s="1"/>
  <c r="B77" i="1"/>
  <c r="A315" i="1"/>
  <c r="B314" i="1"/>
  <c r="A23" i="1"/>
  <c r="B22" i="1"/>
  <c r="A24" i="1" l="1"/>
  <c r="B24" i="1" s="1"/>
  <c r="B23" i="1"/>
  <c r="A316" i="1"/>
  <c r="B316" i="1" s="1"/>
  <c r="B315" i="1"/>
  <c r="A286" i="1"/>
  <c r="B286" i="1" s="1"/>
  <c r="B285" i="1"/>
  <c r="A112" i="1"/>
  <c r="B112" i="1" s="1"/>
  <c r="B111" i="1"/>
  <c r="A268" i="1"/>
  <c r="B267" i="1"/>
  <c r="A35" i="1"/>
  <c r="B35" i="1" s="1"/>
  <c r="B34" i="1"/>
  <c r="A170" i="1"/>
  <c r="B169" i="1"/>
  <c r="A171" i="1" l="1"/>
  <c r="B171" i="1" s="1"/>
  <c r="B170" i="1"/>
  <c r="A269" i="1"/>
  <c r="B268" i="1"/>
  <c r="A270" i="1" l="1"/>
  <c r="B269" i="1"/>
  <c r="A271" i="1" l="1"/>
  <c r="B270" i="1"/>
  <c r="A272" i="1" l="1"/>
  <c r="B272" i="1" s="1"/>
  <c r="B271" i="1"/>
</calcChain>
</file>

<file path=xl/sharedStrings.xml><?xml version="1.0" encoding="utf-8"?>
<sst xmlns="http://schemas.openxmlformats.org/spreadsheetml/2006/main" count="3140" uniqueCount="1417">
  <si>
    <t>PTX-C1548</t>
    <phoneticPr fontId="1" type="noConversion"/>
  </si>
  <si>
    <t>小原</t>
  </si>
  <si>
    <t>φ16mm</t>
  </si>
  <si>
    <t>6±1mm</t>
    <phoneticPr fontId="1" type="noConversion"/>
  </si>
  <si>
    <t>《设备点检表》
《过程质量管理表》</t>
    <phoneticPr fontId="1" type="noConversion"/>
  </si>
  <si>
    <t>生产线</t>
    <phoneticPr fontId="10" type="noConversion"/>
  </si>
  <si>
    <t>工位号</t>
    <phoneticPr fontId="10" type="noConversion"/>
  </si>
  <si>
    <t>工位名称</t>
    <phoneticPr fontId="8" type="noConversion"/>
  </si>
  <si>
    <t>前地板分装线</t>
  </si>
  <si>
    <t>W1FF4-010</t>
  </si>
  <si>
    <t>前地板1#</t>
  </si>
  <si>
    <t>W1FF4-020</t>
  </si>
  <si>
    <t>前地板2#</t>
  </si>
  <si>
    <t>W1FF4-030</t>
  </si>
  <si>
    <t>前地板3#</t>
  </si>
  <si>
    <t>W1FF4-040</t>
  </si>
  <si>
    <t>前地板4#</t>
  </si>
  <si>
    <t>W1FF4-050</t>
  </si>
  <si>
    <t>前地板5#</t>
  </si>
  <si>
    <t>W1FF4-060</t>
  </si>
  <si>
    <t>前地板6#</t>
  </si>
  <si>
    <t>W1FF4-070</t>
  </si>
  <si>
    <t>前地板7#</t>
  </si>
  <si>
    <t>前围板分装线</t>
  </si>
  <si>
    <t>W1DA4-010</t>
  </si>
  <si>
    <t>前围板1#</t>
  </si>
  <si>
    <t>W1DA4-020</t>
  </si>
  <si>
    <t>前围板2#</t>
  </si>
  <si>
    <t>W1DA4-030</t>
  </si>
  <si>
    <t>前围板3#</t>
  </si>
  <si>
    <t>W1DA4-040</t>
  </si>
  <si>
    <t>前围板4#</t>
  </si>
  <si>
    <t>W1DA4-050</t>
  </si>
  <si>
    <t>前围板5#</t>
  </si>
  <si>
    <t>W1DA4-060</t>
  </si>
  <si>
    <t>前围板6#</t>
  </si>
  <si>
    <t>W1HP4-010</t>
  </si>
  <si>
    <t>空气室1#</t>
  </si>
  <si>
    <t>W1HP4-020</t>
  </si>
  <si>
    <t>空气室2#</t>
  </si>
  <si>
    <t>后地板分装线</t>
  </si>
  <si>
    <t>W1RR4-010L</t>
  </si>
  <si>
    <t>后纵梁总成1#-左</t>
  </si>
  <si>
    <t>W1RR4-020L</t>
  </si>
  <si>
    <t>后纵梁总成2#-左</t>
  </si>
  <si>
    <t>W1RR4-010R</t>
  </si>
  <si>
    <t>后纵梁总成1#-右</t>
  </si>
  <si>
    <t>W1RR4-020R</t>
  </si>
  <si>
    <t>后纵梁总成2#-右</t>
  </si>
  <si>
    <t>W1RF4-010</t>
  </si>
  <si>
    <t>后地板1#</t>
  </si>
  <si>
    <t>W1RF4-020</t>
  </si>
  <si>
    <t>后地板2#</t>
  </si>
  <si>
    <t>W1RF4-030</t>
  </si>
  <si>
    <t>后地板3#</t>
  </si>
  <si>
    <t>W1RF4-040</t>
  </si>
  <si>
    <t>后地板4#</t>
  </si>
  <si>
    <t>W1RF4-050</t>
  </si>
  <si>
    <t>后地板5#</t>
  </si>
  <si>
    <t>W1RF4-060</t>
  </si>
  <si>
    <t>后地板6#</t>
  </si>
  <si>
    <t>W1RF4-070</t>
  </si>
  <si>
    <t>后地板7#</t>
  </si>
  <si>
    <t>W1RF4-080</t>
  </si>
  <si>
    <t>后地板8#</t>
  </si>
  <si>
    <t>W1RF4-090</t>
  </si>
  <si>
    <t>后地板9#</t>
  </si>
  <si>
    <t>W1RF4-100</t>
  </si>
  <si>
    <t>后地板10#</t>
  </si>
  <si>
    <t>前纵梁线</t>
  </si>
  <si>
    <t>W1FU4-010R</t>
  </si>
  <si>
    <t>前纵梁右1#</t>
  </si>
  <si>
    <t>W1FU4-020R</t>
  </si>
  <si>
    <t>前纵梁右2#</t>
  </si>
  <si>
    <t>W1FU4-030R</t>
  </si>
  <si>
    <t>前纵梁右3#</t>
  </si>
  <si>
    <t>W1FU4-040R</t>
  </si>
  <si>
    <t>前纵梁右4#</t>
  </si>
  <si>
    <t>W1FU4-010L</t>
  </si>
  <si>
    <t>前纵梁左1#</t>
  </si>
  <si>
    <t>W1FU4-020L</t>
  </si>
  <si>
    <t>前纵梁左2#</t>
  </si>
  <si>
    <t>W1FU4-030L</t>
  </si>
  <si>
    <t>前纵梁左3#</t>
  </si>
  <si>
    <t>W1FU4-040L</t>
  </si>
  <si>
    <t>前纵梁左4#</t>
  </si>
  <si>
    <t>左侧围分装线</t>
  </si>
  <si>
    <t>W1BSI4-010L</t>
  </si>
  <si>
    <t>后轮罩外板总成-左</t>
  </si>
  <si>
    <t>W1BSI4-020L</t>
  </si>
  <si>
    <t>C柱内板总成合件-左</t>
  </si>
  <si>
    <t>W1BSI4-030L</t>
  </si>
  <si>
    <t>C柱内板总成-左</t>
  </si>
  <si>
    <t>W1BSI4-040L</t>
  </si>
  <si>
    <t>C柱加强板总成-左</t>
  </si>
  <si>
    <t>W1BSI4-110L</t>
  </si>
  <si>
    <t>尾灯盒总成-左</t>
  </si>
  <si>
    <t>W1BSI4-050L</t>
  </si>
  <si>
    <t>后侧围内板总成合件-左</t>
  </si>
  <si>
    <t>W1BSI4-060L</t>
  </si>
  <si>
    <t>后侧围内板总成-左</t>
  </si>
  <si>
    <t>W1BSI4-070L</t>
  </si>
  <si>
    <t>W1BSI4-080L</t>
  </si>
  <si>
    <t>后侧围内板分总成-左</t>
  </si>
  <si>
    <t>W1BSI4-090L</t>
  </si>
  <si>
    <t>W1BSI4-100L</t>
  </si>
  <si>
    <t>右侧围分装线</t>
  </si>
  <si>
    <t>W1BSI4-010R</t>
  </si>
  <si>
    <t>后轮罩外板总成-右</t>
  </si>
  <si>
    <t>W1BSI4-020R</t>
  </si>
  <si>
    <t>C柱内板总成合件-右</t>
  </si>
  <si>
    <t>W1BSI4-030R</t>
  </si>
  <si>
    <t>C柱内板总成-右</t>
  </si>
  <si>
    <t>W1BSI4-040R</t>
  </si>
  <si>
    <t>C柱加强板总成-右</t>
  </si>
  <si>
    <t>W1BSI4-110R</t>
  </si>
  <si>
    <t>尾灯盒总成-右</t>
  </si>
  <si>
    <t>W1BSI4-050R</t>
  </si>
  <si>
    <t>后侧围内板总成合件-右</t>
  </si>
  <si>
    <t>W1BSI4-060R</t>
  </si>
  <si>
    <t>后侧围内板总成-右</t>
  </si>
  <si>
    <t>W1BSI4-070R</t>
  </si>
  <si>
    <t>W1BSI4-080R</t>
  </si>
  <si>
    <t>后侧围内板分总成-右</t>
  </si>
  <si>
    <t>W1BSI4-090R</t>
  </si>
  <si>
    <t>W1BSI4-100R</t>
  </si>
  <si>
    <t>左侧围自动线</t>
  </si>
  <si>
    <t>W1BS1-010L</t>
  </si>
  <si>
    <t>侧围外板-左对中工位</t>
  </si>
  <si>
    <t>W1BS1-020L</t>
  </si>
  <si>
    <t>侧围外板-左上件工位</t>
  </si>
  <si>
    <t>W1BS1-030L</t>
  </si>
  <si>
    <t>侧围外板总成-左上件工位</t>
  </si>
  <si>
    <t>W1BS1-040L</t>
  </si>
  <si>
    <t>侧围外板总成-左焊接涂胶工位</t>
  </si>
  <si>
    <t>W1BS1-050L</t>
  </si>
  <si>
    <t>侧围前部总成-左/右上件焊接工位</t>
  </si>
  <si>
    <t>W1BS1-060L</t>
  </si>
  <si>
    <t>后侧围内板总成总成-左/右上件焊接工位</t>
  </si>
  <si>
    <t>W1BS1-070L</t>
  </si>
  <si>
    <t>侧围总成-左/右补焊工位</t>
  </si>
  <si>
    <t>W1BS1-080L</t>
  </si>
  <si>
    <t>侧围总成-左/右转运工位</t>
  </si>
  <si>
    <t>W1BS1-090L</t>
  </si>
  <si>
    <t>侧围总成-左/右下线工位</t>
  </si>
  <si>
    <t>右侧围自动线</t>
  </si>
  <si>
    <t>W1BS1-010R</t>
  </si>
  <si>
    <t>侧围外板-左/右对中工位</t>
  </si>
  <si>
    <t>W1BS1-020R</t>
  </si>
  <si>
    <t>侧围外板-左/右上件工位</t>
  </si>
  <si>
    <t>W1BS1-030R</t>
  </si>
  <si>
    <t>侧围外板总成-左/右上件工位</t>
  </si>
  <si>
    <t>W1BS1-040R</t>
  </si>
  <si>
    <t>侧围外板总成-左/右焊接涂胶工位</t>
  </si>
  <si>
    <t>W1BS1-050R</t>
  </si>
  <si>
    <t>W1BS1-060R</t>
  </si>
  <si>
    <t>W1BS1-070R</t>
  </si>
  <si>
    <t>W1BS1-080R</t>
  </si>
  <si>
    <t>W1BS1-090R</t>
  </si>
  <si>
    <t>机舱自动线</t>
  </si>
  <si>
    <t>W1ER3-010</t>
  </si>
  <si>
    <t>前机舱总成人工上件</t>
  </si>
  <si>
    <t>W1ER3-020</t>
  </si>
  <si>
    <t>前机舱总成焊接</t>
  </si>
  <si>
    <t>W1ER3-030</t>
  </si>
  <si>
    <t>左右A柱挡板总成上件</t>
  </si>
  <si>
    <t>W1ER3-040</t>
  </si>
  <si>
    <t>下车体前部总成焊接</t>
  </si>
  <si>
    <t>W1ER3-050</t>
  </si>
  <si>
    <t>前地板总成上件</t>
  </si>
  <si>
    <t>W1ER3-060</t>
  </si>
  <si>
    <t>W1ER3-070</t>
  </si>
  <si>
    <t>W1ER3-080</t>
  </si>
  <si>
    <t>UB线</t>
  </si>
  <si>
    <t>W1UB-030</t>
  </si>
  <si>
    <t>机舱前地板、后地板上件</t>
  </si>
  <si>
    <t>W1UB-040</t>
  </si>
  <si>
    <t>补焊工位</t>
  </si>
  <si>
    <t>W1UB-050</t>
  </si>
  <si>
    <t>空气室总成上件</t>
  </si>
  <si>
    <t>W1UB-060</t>
  </si>
  <si>
    <t>下车体补焊工位</t>
  </si>
  <si>
    <t>W1UB-070</t>
  </si>
  <si>
    <t>后围总成上件</t>
  </si>
  <si>
    <t>W1UB-080</t>
  </si>
  <si>
    <t>W1UB-090</t>
  </si>
  <si>
    <t>W1UB-100</t>
  </si>
  <si>
    <t>下车体植焊工位</t>
  </si>
  <si>
    <t>MB1线</t>
  </si>
  <si>
    <t>W1MB-020</t>
  </si>
  <si>
    <t>强度检查</t>
  </si>
  <si>
    <t>W1MB-030</t>
  </si>
  <si>
    <t>前防撞梁安装组件、翼子板支架人工焊接</t>
  </si>
  <si>
    <t>W1MB-110</t>
  </si>
  <si>
    <t>侧围及前后横梁预拼工位</t>
  </si>
  <si>
    <t>W1MB-120</t>
  </si>
  <si>
    <t>侧围预搭扣、强度检查工位</t>
  </si>
  <si>
    <t>W1MB-140</t>
  </si>
  <si>
    <t>总拼工位</t>
  </si>
  <si>
    <t>W1MB-160</t>
  </si>
  <si>
    <t>车身补焊工位</t>
  </si>
  <si>
    <t>W1MB-180</t>
  </si>
  <si>
    <t>W1MB-190</t>
  </si>
  <si>
    <t>W1MB-200</t>
  </si>
  <si>
    <t>涂胶工位</t>
  </si>
  <si>
    <t>W1MB-210</t>
  </si>
  <si>
    <t>顶盖安装工位</t>
  </si>
  <si>
    <t>W1MB-220</t>
  </si>
  <si>
    <t>MB2线</t>
  </si>
  <si>
    <t>W1MB-250</t>
  </si>
  <si>
    <t>侧围连接板上件工位</t>
  </si>
  <si>
    <t>W1MB-260</t>
  </si>
  <si>
    <t>机器人补焊工位</t>
  </si>
  <si>
    <t>W1MB-270</t>
  </si>
  <si>
    <t>W1MB-280</t>
  </si>
  <si>
    <t>机器人CO2工位</t>
  </si>
  <si>
    <t>W1MB-290</t>
  </si>
  <si>
    <t>铰链安装工位</t>
  </si>
  <si>
    <t>W1FL-010</t>
  </si>
  <si>
    <t>顶盖</t>
  </si>
  <si>
    <t>W1RA3-010</t>
  </si>
  <si>
    <t>顶盖总成（天窗、非天窗）</t>
  </si>
  <si>
    <t>W1RA3-020</t>
  </si>
  <si>
    <t>顶盖总成（非天窗）</t>
  </si>
  <si>
    <t>W1RA3-030</t>
  </si>
  <si>
    <t>顶盖总成检查</t>
  </si>
  <si>
    <t>行李箱盖</t>
  </si>
  <si>
    <t>W1BD1-010</t>
  </si>
  <si>
    <t>尾门内板分总成点定</t>
  </si>
  <si>
    <t>W1BD1-020</t>
  </si>
  <si>
    <t>尾门内板总成点定</t>
  </si>
  <si>
    <t>W1BD1-025</t>
  </si>
  <si>
    <t>尾门内板总成补焊</t>
  </si>
  <si>
    <t>W1BD1-030</t>
  </si>
  <si>
    <t>尾门外板总成点定</t>
  </si>
  <si>
    <t>W1BD1-035</t>
  </si>
  <si>
    <t>尾门外板总成补焊</t>
  </si>
  <si>
    <t>W1BD1-040</t>
  </si>
  <si>
    <t>尾门内外板上件、涂胶</t>
  </si>
  <si>
    <t>W1BD1-050</t>
  </si>
  <si>
    <t>尾门总成滚边</t>
  </si>
  <si>
    <t>W1BD1-060</t>
  </si>
  <si>
    <t>尾门总成机器人补焊</t>
  </si>
  <si>
    <t>W1BD1-065</t>
  </si>
  <si>
    <t>尾门总成人工补焊</t>
  </si>
  <si>
    <t>W1BD1-070</t>
  </si>
  <si>
    <t>尾门总成下件</t>
  </si>
  <si>
    <t>发盖</t>
  </si>
  <si>
    <t>W1HD1-010</t>
  </si>
  <si>
    <t>发动机盖内板总成点定</t>
  </si>
  <si>
    <t>W1HD1-015</t>
  </si>
  <si>
    <t>发动机盖内板总成补焊</t>
  </si>
  <si>
    <t>W1HD1-020</t>
  </si>
  <si>
    <t>发动机盖内板涂胶上件工位</t>
  </si>
  <si>
    <t>W1HD1-030</t>
  </si>
  <si>
    <t>发动机盖滚边</t>
  </si>
  <si>
    <t>W1HD1-040</t>
  </si>
  <si>
    <t>发动机盖下件工位</t>
  </si>
  <si>
    <t>左前门</t>
  </si>
  <si>
    <t>W1FD1-010L</t>
  </si>
  <si>
    <t>左前门内板分总成点定</t>
  </si>
  <si>
    <t>W1FD1-020L</t>
  </si>
  <si>
    <t>左前门内板分总成补焊</t>
  </si>
  <si>
    <t>W1FD1-030L</t>
  </si>
  <si>
    <t>左前门内板总成</t>
  </si>
  <si>
    <t>W1FD2-040L</t>
  </si>
  <si>
    <t>左前门内外板上件、涂胶</t>
  </si>
  <si>
    <t>W1FD2-050L</t>
  </si>
  <si>
    <t>左前门滚边</t>
  </si>
  <si>
    <t>W1FD2-060L</t>
  </si>
  <si>
    <t>左前门机器人补焊</t>
  </si>
  <si>
    <t>W1FD2-070L</t>
  </si>
  <si>
    <t>左前门总成下件检查</t>
  </si>
  <si>
    <t>右前门</t>
  </si>
  <si>
    <t>W1FD1-010R</t>
  </si>
  <si>
    <t>右前门内板分总成点定</t>
  </si>
  <si>
    <t>W1FD1-020R</t>
  </si>
  <si>
    <t>右前门内板分总成补焊</t>
  </si>
  <si>
    <t>W1FD1-030R</t>
  </si>
  <si>
    <t>右前门内板总成</t>
  </si>
  <si>
    <t>W1FD2-040R</t>
  </si>
  <si>
    <t>右前门内外板上件、涂胶</t>
  </si>
  <si>
    <t>W1FD2-050R</t>
  </si>
  <si>
    <t>右前门滚边</t>
  </si>
  <si>
    <t>W1FD2-060R</t>
  </si>
  <si>
    <t>右前门机器人补焊</t>
  </si>
  <si>
    <t>W1FD2-070R</t>
  </si>
  <si>
    <t>右前门总成下件检查</t>
  </si>
  <si>
    <t>左后门</t>
  </si>
  <si>
    <t>W1RD1-010L</t>
  </si>
  <si>
    <t>左后门内板分总成点定</t>
  </si>
  <si>
    <t>W1RD1-015L</t>
  </si>
  <si>
    <t>左后门内板分总成补焊</t>
  </si>
  <si>
    <t>W1RD1-020L</t>
  </si>
  <si>
    <t>左后门内板总成</t>
  </si>
  <si>
    <t>W1RD2-030L</t>
  </si>
  <si>
    <t>左后门上件、涂胶</t>
  </si>
  <si>
    <t>W1RD2-040L</t>
  </si>
  <si>
    <t>左后门滚边</t>
  </si>
  <si>
    <t>W1RD2-050L</t>
  </si>
  <si>
    <t>左后门补焊</t>
  </si>
  <si>
    <t>W1RD2-060L</t>
  </si>
  <si>
    <t>左后门钣金总成检查</t>
  </si>
  <si>
    <t>右后门</t>
  </si>
  <si>
    <t>W1RD1-010R</t>
  </si>
  <si>
    <t>右后门内板分总成点定</t>
  </si>
  <si>
    <t>W1RD1-015R</t>
  </si>
  <si>
    <t>右后门内板分总成补焊</t>
  </si>
  <si>
    <t>W1RD1-020R</t>
  </si>
  <si>
    <t>右后门内板总成</t>
  </si>
  <si>
    <t>W1RD2-030R</t>
  </si>
  <si>
    <t>右后门上件</t>
  </si>
  <si>
    <t>W1RD2-040R</t>
  </si>
  <si>
    <t>W1RD2-050R</t>
  </si>
  <si>
    <t>W1RD2-060R</t>
  </si>
  <si>
    <t>右后门钣金总成检查</t>
  </si>
  <si>
    <t>CO2焊</t>
  </si>
  <si>
    <t>W1FL-020</t>
  </si>
  <si>
    <t>CO2焊#1</t>
  </si>
  <si>
    <t>W1FL-030</t>
  </si>
  <si>
    <t>CO2焊#2</t>
  </si>
  <si>
    <t>装调线</t>
  </si>
  <si>
    <t>W1FL-060</t>
  </si>
  <si>
    <t>打磨</t>
  </si>
  <si>
    <t>W1FL-070</t>
  </si>
  <si>
    <t>小件安装#1</t>
  </si>
  <si>
    <t>W1FL-080</t>
  </si>
  <si>
    <t>小件安装#2</t>
  </si>
  <si>
    <t>W1FL-090</t>
  </si>
  <si>
    <t>后背门安装</t>
  </si>
  <si>
    <t>W1FL-100</t>
  </si>
  <si>
    <t>后门钣金总成安装</t>
  </si>
  <si>
    <t>W1FL-110</t>
  </si>
  <si>
    <t>前门钣金总成安装</t>
  </si>
  <si>
    <t>W1FL-120</t>
  </si>
  <si>
    <t>翼子板安装</t>
  </si>
  <si>
    <t>W1FL-130</t>
  </si>
  <si>
    <t>机盖安装</t>
  </si>
  <si>
    <t>W1FL-140</t>
  </si>
  <si>
    <t>精调</t>
  </si>
  <si>
    <t>W1FL-150</t>
  </si>
  <si>
    <t>出车检查</t>
  </si>
  <si>
    <t>最终线</t>
  </si>
  <si>
    <t>W1FL-210</t>
  </si>
  <si>
    <t>顶盖外观检查</t>
  </si>
  <si>
    <t>W1FL-220</t>
  </si>
  <si>
    <t>检查#1</t>
  </si>
  <si>
    <t>W1FL-230</t>
  </si>
  <si>
    <t>检查#2</t>
  </si>
  <si>
    <t>W1FL-240</t>
  </si>
  <si>
    <t>返修#1</t>
  </si>
  <si>
    <t>W1FL-250</t>
  </si>
  <si>
    <t>返修#2</t>
  </si>
  <si>
    <t>W1FL-270</t>
  </si>
  <si>
    <t>清理</t>
  </si>
  <si>
    <t>W1FL-280</t>
  </si>
  <si>
    <t>终检</t>
  </si>
  <si>
    <t>W1FL-310</t>
  </si>
  <si>
    <t>大物返修</t>
  </si>
  <si>
    <t>涂装外修</t>
  </si>
  <si>
    <t>W1WL-010</t>
  </si>
  <si>
    <t>电泳</t>
  </si>
  <si>
    <t>W1WL-020</t>
  </si>
  <si>
    <t>中涂</t>
  </si>
  <si>
    <t>总装外修</t>
  </si>
  <si>
    <t>W1WL-030</t>
  </si>
  <si>
    <t>四门调整</t>
  </si>
  <si>
    <t>W1WL-040</t>
  </si>
  <si>
    <t>线上返修</t>
  </si>
  <si>
    <t>W1WL-050</t>
  </si>
  <si>
    <t>线下返修</t>
  </si>
  <si>
    <t>W1WL-060</t>
  </si>
  <si>
    <t>PDI返修</t>
  </si>
  <si>
    <t>W1RR4-020L</t>
    <phoneticPr fontId="1" type="noConversion"/>
  </si>
  <si>
    <t>A00084804</t>
    <phoneticPr fontId="1" type="noConversion"/>
  </si>
  <si>
    <t>中排座椅前侧安装螺母板组件</t>
    <phoneticPr fontId="1" type="noConversion"/>
  </si>
  <si>
    <t>中排座椅安全带加强板组件-右</t>
    <phoneticPr fontId="1" type="noConversion"/>
  </si>
  <si>
    <t>A00087155</t>
    <phoneticPr fontId="1" type="noConversion"/>
  </si>
  <si>
    <t>中排座椅安全带加强板组件-左</t>
    <phoneticPr fontId="1" type="noConversion"/>
  </si>
  <si>
    <t>后地板前补板</t>
    <phoneticPr fontId="1" type="noConversion"/>
  </si>
  <si>
    <t>A00087153</t>
    <phoneticPr fontId="1" type="noConversion"/>
  </si>
  <si>
    <t>A00084803</t>
    <phoneticPr fontId="1" type="noConversion"/>
  </si>
  <si>
    <t>后座椅中间固定支架</t>
    <phoneticPr fontId="1" type="noConversion"/>
  </si>
  <si>
    <t>A00088498</t>
    <phoneticPr fontId="1" type="noConversion"/>
  </si>
  <si>
    <t>A140</t>
    <phoneticPr fontId="1" type="noConversion"/>
  </si>
  <si>
    <t>A141</t>
    <phoneticPr fontId="1" type="noConversion"/>
  </si>
  <si>
    <t>A00085743</t>
    <phoneticPr fontId="1" type="noConversion"/>
  </si>
  <si>
    <t>后纵梁后段总成-左</t>
    <phoneticPr fontId="1" type="noConversion"/>
  </si>
  <si>
    <t>A00085618</t>
    <phoneticPr fontId="1" type="noConversion"/>
  </si>
  <si>
    <t>后减震器销总成</t>
    <phoneticPr fontId="1" type="noConversion"/>
  </si>
  <si>
    <t>后纵梁分总成-左</t>
    <phoneticPr fontId="1" type="noConversion"/>
  </si>
  <si>
    <t>A00091059</t>
    <phoneticPr fontId="1" type="noConversion"/>
  </si>
  <si>
    <t>A165</t>
    <phoneticPr fontId="1" type="noConversion"/>
  </si>
  <si>
    <t>A164</t>
    <phoneticPr fontId="1" type="noConversion"/>
  </si>
  <si>
    <t>PTI-ZMF75-C42-3120</t>
    <phoneticPr fontId="1" type="noConversion"/>
  </si>
  <si>
    <t>浙南</t>
  </si>
  <si>
    <t>PTX-C1525</t>
    <phoneticPr fontId="1" type="noConversion"/>
  </si>
  <si>
    <t>A00085560</t>
    <phoneticPr fontId="1" type="noConversion"/>
  </si>
  <si>
    <t>A00084853</t>
    <phoneticPr fontId="1" type="noConversion"/>
  </si>
  <si>
    <t>中排座椅后安装加强板组件-左</t>
    <phoneticPr fontId="1" type="noConversion"/>
  </si>
  <si>
    <t>A169</t>
    <phoneticPr fontId="1" type="noConversion"/>
  </si>
  <si>
    <t>PTI-ZMF75-X42-3920</t>
    <phoneticPr fontId="1" type="noConversion"/>
  </si>
  <si>
    <t>A168</t>
    <phoneticPr fontId="1" type="noConversion"/>
  </si>
  <si>
    <t>PTC-C1118</t>
    <phoneticPr fontId="1" type="noConversion"/>
  </si>
  <si>
    <t>A00090467</t>
    <phoneticPr fontId="1" type="noConversion"/>
  </si>
  <si>
    <t>后纵梁后段总成-右</t>
    <phoneticPr fontId="1" type="noConversion"/>
  </si>
  <si>
    <t>A00085619</t>
    <phoneticPr fontId="1" type="noConversion"/>
  </si>
  <si>
    <t>A00091060</t>
    <phoneticPr fontId="1" type="noConversion"/>
  </si>
  <si>
    <t>后纵梁分总成-右</t>
    <phoneticPr fontId="1" type="noConversion"/>
  </si>
  <si>
    <t>《设备点检表》
《过程质量管理表》</t>
    <phoneticPr fontId="1" type="noConversion"/>
  </si>
  <si>
    <t>《设备点检表》
《过程质量管理表》</t>
    <phoneticPr fontId="1" type="noConversion"/>
  </si>
  <si>
    <t>A167</t>
    <phoneticPr fontId="1" type="noConversion"/>
  </si>
  <si>
    <t>A166</t>
    <phoneticPr fontId="1" type="noConversion"/>
  </si>
  <si>
    <t>PTI-ZMF75-C42-3120</t>
    <phoneticPr fontId="1" type="noConversion"/>
  </si>
  <si>
    <t>(G751-0279)PTX-C1525</t>
    <phoneticPr fontId="1" type="noConversion"/>
  </si>
  <si>
    <t>A00085570</t>
    <phoneticPr fontId="1" type="noConversion"/>
  </si>
  <si>
    <t>A00084851</t>
    <phoneticPr fontId="1" type="noConversion"/>
  </si>
  <si>
    <t>中排座椅后安装加强板组件-右</t>
    <phoneticPr fontId="1" type="noConversion"/>
  </si>
  <si>
    <t>A171</t>
    <phoneticPr fontId="1" type="noConversion"/>
  </si>
  <si>
    <t>A170</t>
    <phoneticPr fontId="1" type="noConversion"/>
  </si>
  <si>
    <t>商科</t>
  </si>
  <si>
    <t>A142</t>
    <phoneticPr fontId="1" type="noConversion"/>
  </si>
  <si>
    <t>PTX-C1548</t>
    <phoneticPr fontId="1" type="noConversion"/>
  </si>
  <si>
    <t>后地板组件</t>
  </si>
  <si>
    <t>A00084802</t>
    <phoneticPr fontId="1" type="noConversion"/>
  </si>
  <si>
    <t>后地板组件</t>
    <phoneticPr fontId="1" type="noConversion"/>
  </si>
  <si>
    <t>后地板前延伸板总成</t>
    <phoneticPr fontId="1" type="noConversion"/>
  </si>
  <si>
    <t>A00085578</t>
    <phoneticPr fontId="1" type="noConversion"/>
  </si>
  <si>
    <t>A00088676</t>
    <phoneticPr fontId="1" type="noConversion"/>
  </si>
  <si>
    <t>后地板后连接板—左</t>
    <phoneticPr fontId="1" type="noConversion"/>
  </si>
  <si>
    <t>A00088677</t>
    <phoneticPr fontId="1" type="noConversion"/>
  </si>
  <si>
    <t>后地板后连接板—右</t>
    <phoneticPr fontId="1" type="noConversion"/>
  </si>
  <si>
    <t>A00084861</t>
    <phoneticPr fontId="1" type="noConversion"/>
  </si>
  <si>
    <t>后地板</t>
    <phoneticPr fontId="1" type="noConversion"/>
  </si>
  <si>
    <t>A00084857</t>
    <phoneticPr fontId="1" type="noConversion"/>
  </si>
  <si>
    <t>备胎安装支架总成</t>
    <phoneticPr fontId="1" type="noConversion"/>
  </si>
  <si>
    <t>A143</t>
    <phoneticPr fontId="1" type="noConversion"/>
  </si>
  <si>
    <t>PTC-C0569</t>
    <phoneticPr fontId="1" type="noConversion"/>
  </si>
  <si>
    <t>A144</t>
    <phoneticPr fontId="1" type="noConversion"/>
  </si>
  <si>
    <t>A145</t>
    <phoneticPr fontId="1" type="noConversion"/>
  </si>
  <si>
    <t>A146</t>
    <phoneticPr fontId="1" type="noConversion"/>
  </si>
  <si>
    <t>A147</t>
    <phoneticPr fontId="1" type="noConversion"/>
  </si>
  <si>
    <t>A148</t>
    <phoneticPr fontId="1" type="noConversion"/>
  </si>
  <si>
    <t>PTX-C1518</t>
    <phoneticPr fontId="1" type="noConversion"/>
  </si>
  <si>
    <t>PTX-C1553</t>
    <phoneticPr fontId="1" type="noConversion"/>
  </si>
  <si>
    <t>后纵梁总成-左</t>
    <phoneticPr fontId="1" type="noConversion"/>
  </si>
  <si>
    <t>后纵梁总成-右</t>
    <phoneticPr fontId="1" type="noConversion"/>
  </si>
  <si>
    <t>后地板后横梁总成</t>
  </si>
  <si>
    <t>A00085584</t>
  </si>
  <si>
    <t>A00091080</t>
    <phoneticPr fontId="1" type="noConversion"/>
  </si>
  <si>
    <t>后地板中横梁总成</t>
    <phoneticPr fontId="1" type="noConversion"/>
  </si>
  <si>
    <t>A172</t>
    <phoneticPr fontId="1" type="noConversion"/>
  </si>
  <si>
    <t>A173</t>
    <phoneticPr fontId="1" type="noConversion"/>
  </si>
  <si>
    <t>A174</t>
    <phoneticPr fontId="1" type="noConversion"/>
  </si>
  <si>
    <t>A175</t>
    <phoneticPr fontId="1" type="noConversion"/>
  </si>
  <si>
    <t>PTX-C1527</t>
  </si>
  <si>
    <t>PTC-C1111</t>
    <phoneticPr fontId="1" type="noConversion"/>
  </si>
  <si>
    <t>PTX-C1527</t>
    <phoneticPr fontId="1" type="noConversion"/>
  </si>
  <si>
    <t>A00085606</t>
    <phoneticPr fontId="1" type="noConversion"/>
  </si>
  <si>
    <t>中地板前横梁总成</t>
  </si>
  <si>
    <t>A00087455</t>
  </si>
  <si>
    <t>中地板纵梁-左</t>
    <phoneticPr fontId="1" type="noConversion"/>
  </si>
  <si>
    <t>A00085582</t>
    <phoneticPr fontId="1" type="noConversion"/>
  </si>
  <si>
    <t>后地板前横梁组件</t>
    <phoneticPr fontId="1" type="noConversion"/>
  </si>
  <si>
    <t>A00085559</t>
    <phoneticPr fontId="1" type="noConversion"/>
  </si>
  <si>
    <t>后地板骨架分总成</t>
    <phoneticPr fontId="1" type="noConversion"/>
  </si>
  <si>
    <t>《设备点检表》
《过程质量管理表》</t>
    <phoneticPr fontId="1" type="noConversion"/>
  </si>
  <si>
    <t>A176</t>
    <phoneticPr fontId="1" type="noConversion"/>
  </si>
  <si>
    <t>A177</t>
    <phoneticPr fontId="1" type="noConversion"/>
  </si>
  <si>
    <t>A178</t>
    <phoneticPr fontId="1" type="noConversion"/>
  </si>
  <si>
    <t>A179</t>
    <phoneticPr fontId="1" type="noConversion"/>
  </si>
  <si>
    <t>A180</t>
    <phoneticPr fontId="1" type="noConversion"/>
  </si>
  <si>
    <t>A181</t>
    <phoneticPr fontId="1" type="noConversion"/>
  </si>
  <si>
    <t>PTX-C1524</t>
    <phoneticPr fontId="1" type="noConversion"/>
  </si>
  <si>
    <t>PTX-C1556</t>
    <phoneticPr fontId="1" type="noConversion"/>
  </si>
  <si>
    <t>PTC-C0569</t>
    <phoneticPr fontId="1" type="noConversion"/>
  </si>
  <si>
    <t>后地板骨架总成</t>
    <phoneticPr fontId="1" type="noConversion"/>
  </si>
  <si>
    <t>后地板面板分总成</t>
    <phoneticPr fontId="1" type="noConversion"/>
  </si>
  <si>
    <t>A00084800</t>
    <phoneticPr fontId="1" type="noConversion"/>
  </si>
  <si>
    <t>《设备点检表》
《过程质量管理表》</t>
    <phoneticPr fontId="1" type="noConversion"/>
  </si>
  <si>
    <t>A182</t>
    <phoneticPr fontId="1" type="noConversion"/>
  </si>
  <si>
    <t>A183</t>
    <phoneticPr fontId="1" type="noConversion"/>
  </si>
  <si>
    <t>A184</t>
    <phoneticPr fontId="1" type="noConversion"/>
  </si>
  <si>
    <t>A185</t>
    <phoneticPr fontId="1" type="noConversion"/>
  </si>
  <si>
    <t>PTX-C2948</t>
    <phoneticPr fontId="1" type="noConversion"/>
  </si>
  <si>
    <t>PTC-C1108</t>
    <phoneticPr fontId="1" type="noConversion"/>
  </si>
  <si>
    <t>A00084862</t>
    <phoneticPr fontId="1" type="noConversion"/>
  </si>
  <si>
    <t>后地板总成</t>
    <phoneticPr fontId="1" type="noConversion"/>
  </si>
  <si>
    <t>A186</t>
    <phoneticPr fontId="1" type="noConversion"/>
  </si>
  <si>
    <t>A187</t>
    <phoneticPr fontId="1" type="noConversion"/>
  </si>
  <si>
    <t>A188</t>
    <phoneticPr fontId="1" type="noConversion"/>
  </si>
  <si>
    <t>A189</t>
    <phoneticPr fontId="1" type="noConversion"/>
  </si>
  <si>
    <t>PTX-C2945</t>
    <phoneticPr fontId="1" type="noConversion"/>
  </si>
  <si>
    <t>PTX-C2947</t>
    <phoneticPr fontId="1" type="noConversion"/>
  </si>
  <si>
    <t>PTX-C1559</t>
    <phoneticPr fontId="1" type="noConversion"/>
  </si>
  <si>
    <t>A190</t>
    <phoneticPr fontId="1" type="noConversion"/>
  </si>
  <si>
    <t>A191</t>
    <phoneticPr fontId="1" type="noConversion"/>
  </si>
  <si>
    <t>A192</t>
    <phoneticPr fontId="1" type="noConversion"/>
  </si>
  <si>
    <t>A193</t>
    <phoneticPr fontId="1" type="noConversion"/>
  </si>
  <si>
    <t>PTX-C1516</t>
    <phoneticPr fontId="1" type="noConversion"/>
  </si>
  <si>
    <t>A194</t>
    <phoneticPr fontId="1" type="noConversion"/>
  </si>
  <si>
    <t>PTX-C1555</t>
    <phoneticPr fontId="1" type="noConversion"/>
  </si>
  <si>
    <t>后地板总成</t>
    <phoneticPr fontId="1" type="noConversion"/>
  </si>
  <si>
    <t>A195</t>
    <phoneticPr fontId="1" type="noConversion"/>
  </si>
  <si>
    <t>A196</t>
    <phoneticPr fontId="1" type="noConversion"/>
  </si>
  <si>
    <t>A197</t>
    <phoneticPr fontId="1" type="noConversion"/>
  </si>
  <si>
    <t>A198</t>
    <phoneticPr fontId="1" type="noConversion"/>
  </si>
  <si>
    <t>A199</t>
    <phoneticPr fontId="1" type="noConversion"/>
  </si>
  <si>
    <t>A200</t>
    <phoneticPr fontId="1" type="noConversion"/>
  </si>
  <si>
    <t>PTX-C155</t>
    <phoneticPr fontId="1" type="noConversion"/>
  </si>
  <si>
    <t>PTC-C1550</t>
    <phoneticPr fontId="1" type="noConversion"/>
  </si>
  <si>
    <t>PTC-C1110</t>
    <phoneticPr fontId="1" type="noConversion"/>
  </si>
  <si>
    <t>PTX-C1554</t>
    <phoneticPr fontId="1" type="noConversion"/>
  </si>
  <si>
    <t>PTC-C1117</t>
    <phoneticPr fontId="1" type="noConversion"/>
  </si>
  <si>
    <t>前纵梁外板总成-右</t>
    <phoneticPr fontId="1" type="noConversion"/>
  </si>
  <si>
    <t>A00086789</t>
    <phoneticPr fontId="1" type="noConversion"/>
  </si>
  <si>
    <t>A00086581</t>
    <phoneticPr fontId="1" type="noConversion"/>
  </si>
  <si>
    <t>前纵梁前段总成-右</t>
    <phoneticPr fontId="1" type="noConversion"/>
  </si>
  <si>
    <t>A00086824</t>
    <phoneticPr fontId="1" type="noConversion"/>
  </si>
  <si>
    <t>前纵梁后段总成-右</t>
    <phoneticPr fontId="1" type="noConversion"/>
  </si>
  <si>
    <t>《设备点检表》
《过程质量管理表》</t>
    <phoneticPr fontId="1" type="noConversion"/>
  </si>
  <si>
    <t>A103</t>
    <phoneticPr fontId="1" type="noConversion"/>
  </si>
  <si>
    <t>A104</t>
    <phoneticPr fontId="1" type="noConversion"/>
  </si>
  <si>
    <t>PTI-ZMF75-X36-3620</t>
    <phoneticPr fontId="1" type="noConversion"/>
  </si>
  <si>
    <t>PTC-C1150</t>
    <phoneticPr fontId="1" type="noConversion"/>
  </si>
  <si>
    <t>1#过程件</t>
    <phoneticPr fontId="1" type="noConversion"/>
  </si>
  <si>
    <t>前围板下横梁连接板-右</t>
    <phoneticPr fontId="1" type="noConversion"/>
  </si>
  <si>
    <t>A00090842</t>
    <phoneticPr fontId="1" type="noConversion"/>
  </si>
  <si>
    <t>/</t>
    <phoneticPr fontId="1" type="noConversion"/>
  </si>
  <si>
    <t>A106</t>
    <phoneticPr fontId="1" type="noConversion"/>
  </si>
  <si>
    <t>PTC-C1106</t>
    <phoneticPr fontId="1" type="noConversion"/>
  </si>
  <si>
    <t>前纵梁分总成-右</t>
    <phoneticPr fontId="1" type="noConversion"/>
  </si>
  <si>
    <t>A00086582</t>
    <phoneticPr fontId="1" type="noConversion"/>
  </si>
  <si>
    <t>A00086268</t>
    <phoneticPr fontId="1" type="noConversion"/>
  </si>
  <si>
    <t>前轮罩总成-右</t>
    <phoneticPr fontId="1" type="noConversion"/>
  </si>
  <si>
    <t>A109</t>
    <phoneticPr fontId="1" type="noConversion"/>
  </si>
  <si>
    <t>A110</t>
    <phoneticPr fontId="1" type="noConversion"/>
  </si>
  <si>
    <t>PTX-C0831</t>
    <phoneticPr fontId="1" type="noConversion"/>
  </si>
  <si>
    <t>PTI-ZMF75-C42-4842</t>
    <phoneticPr fontId="1" type="noConversion"/>
  </si>
  <si>
    <t>前机舱分总成-右</t>
    <phoneticPr fontId="1" type="noConversion"/>
  </si>
  <si>
    <t>A00086189</t>
    <phoneticPr fontId="1" type="noConversion"/>
  </si>
  <si>
    <t>A112</t>
    <phoneticPr fontId="1" type="noConversion"/>
  </si>
  <si>
    <t>PTI-ZMF75-C42-4542</t>
    <phoneticPr fontId="1" type="noConversion"/>
  </si>
  <si>
    <t>前纵梁外板总成-左</t>
    <phoneticPr fontId="1" type="noConversion"/>
  </si>
  <si>
    <t>A00086523</t>
    <phoneticPr fontId="1" type="noConversion"/>
  </si>
  <si>
    <t>前纵梁前段总成-左</t>
    <phoneticPr fontId="1" type="noConversion"/>
  </si>
  <si>
    <t>A00086585</t>
    <phoneticPr fontId="1" type="noConversion"/>
  </si>
  <si>
    <t>前纵梁后段总成-左</t>
    <phoneticPr fontId="1" type="noConversion"/>
  </si>
  <si>
    <t>A00086577</t>
    <phoneticPr fontId="1" type="noConversion"/>
  </si>
  <si>
    <t>A101</t>
    <phoneticPr fontId="1" type="noConversion"/>
  </si>
  <si>
    <t>A102</t>
    <phoneticPr fontId="1" type="noConversion"/>
  </si>
  <si>
    <t>前围板下横梁连接板-左</t>
    <phoneticPr fontId="1" type="noConversion"/>
  </si>
  <si>
    <t>A00090841</t>
    <phoneticPr fontId="1" type="noConversion"/>
  </si>
  <si>
    <t>A105</t>
    <phoneticPr fontId="1" type="noConversion"/>
  </si>
  <si>
    <t>前纵梁分总成-左</t>
    <phoneticPr fontId="1" type="noConversion"/>
  </si>
  <si>
    <t>A00086583</t>
    <phoneticPr fontId="1" type="noConversion"/>
  </si>
  <si>
    <t>前轮罩总成-左</t>
    <phoneticPr fontId="1" type="noConversion"/>
  </si>
  <si>
    <t>A00086255</t>
    <phoneticPr fontId="1" type="noConversion"/>
  </si>
  <si>
    <t>A107</t>
    <phoneticPr fontId="1" type="noConversion"/>
  </si>
  <si>
    <t>A108</t>
    <phoneticPr fontId="1" type="noConversion"/>
  </si>
  <si>
    <t>前机舱分总成-左</t>
    <phoneticPr fontId="1" type="noConversion"/>
  </si>
  <si>
    <t>A00086188</t>
    <phoneticPr fontId="1" type="noConversion"/>
  </si>
  <si>
    <t>A111</t>
    <phoneticPr fontId="1" type="noConversion"/>
  </si>
  <si>
    <t>A00090762</t>
    <phoneticPr fontId="1" type="noConversion"/>
  </si>
  <si>
    <t>前围下板</t>
    <phoneticPr fontId="1" type="noConversion"/>
  </si>
  <si>
    <t>转向管柱护板</t>
    <phoneticPr fontId="1" type="noConversion"/>
  </si>
  <si>
    <t>A00085707</t>
    <phoneticPr fontId="1" type="noConversion"/>
  </si>
  <si>
    <t>前围板组件（MT/7DCT）</t>
    <phoneticPr fontId="1" type="noConversion"/>
  </si>
  <si>
    <t>A00085709</t>
    <phoneticPr fontId="1" type="noConversion"/>
  </si>
  <si>
    <t>A00085705</t>
    <phoneticPr fontId="1" type="noConversion"/>
  </si>
  <si>
    <t>前围板内加强横梁组件-右</t>
    <phoneticPr fontId="1" type="noConversion"/>
  </si>
  <si>
    <t>前围板内加强横梁组件-左</t>
    <phoneticPr fontId="1" type="noConversion"/>
  </si>
  <si>
    <t>A00087276</t>
    <phoneticPr fontId="1" type="noConversion"/>
  </si>
  <si>
    <t>空调安装支架组件</t>
    <phoneticPr fontId="1" type="noConversion"/>
  </si>
  <si>
    <t>A00085741</t>
    <phoneticPr fontId="1" type="noConversion"/>
  </si>
  <si>
    <t>A230</t>
    <phoneticPr fontId="1" type="noConversion"/>
  </si>
  <si>
    <t>A231</t>
    <phoneticPr fontId="1" type="noConversion"/>
  </si>
  <si>
    <t>A232</t>
    <phoneticPr fontId="1" type="noConversion"/>
  </si>
  <si>
    <t>PTX-C2946</t>
    <phoneticPr fontId="1" type="noConversion"/>
  </si>
  <si>
    <t>PTX-C1517</t>
    <phoneticPr fontId="1" type="noConversion"/>
  </si>
  <si>
    <t>PTX-C1553</t>
    <phoneticPr fontId="1" type="noConversion"/>
  </si>
  <si>
    <t>A00085733</t>
    <phoneticPr fontId="1" type="noConversion"/>
  </si>
  <si>
    <t>离合管路支架组件</t>
    <phoneticPr fontId="1" type="noConversion"/>
  </si>
  <si>
    <t>前围板一级分总成</t>
    <phoneticPr fontId="1" type="noConversion"/>
  </si>
  <si>
    <t>A00085701-1</t>
    <phoneticPr fontId="1" type="noConversion"/>
  </si>
  <si>
    <t>前围加强板组件-左（7DCT/MT）</t>
    <phoneticPr fontId="1" type="noConversion"/>
  </si>
  <si>
    <t>A00092198/
A00085711</t>
    <phoneticPr fontId="1" type="noConversion"/>
  </si>
  <si>
    <t>A00085709/
A00085725</t>
    <phoneticPr fontId="1" type="noConversion"/>
  </si>
  <si>
    <t>前围板上中央通道加强板组件（7DCT/MT）</t>
    <phoneticPr fontId="1" type="noConversion"/>
  </si>
  <si>
    <t>A00098061/
A00085708</t>
    <phoneticPr fontId="1" type="noConversion"/>
  </si>
  <si>
    <t>A233</t>
    <phoneticPr fontId="1" type="noConversion"/>
  </si>
  <si>
    <t>A234</t>
    <phoneticPr fontId="1" type="noConversion"/>
  </si>
  <si>
    <t>A235</t>
    <phoneticPr fontId="1" type="noConversion"/>
  </si>
  <si>
    <t>PTX-C1550</t>
    <phoneticPr fontId="1" type="noConversion"/>
  </si>
  <si>
    <t>PTX-C1548</t>
    <phoneticPr fontId="1" type="noConversion"/>
  </si>
  <si>
    <t>前围板分总成</t>
    <phoneticPr fontId="1" type="noConversion"/>
  </si>
  <si>
    <t>A00085701</t>
    <phoneticPr fontId="1" type="noConversion"/>
  </si>
  <si>
    <t>前围板外加强梁总成</t>
    <phoneticPr fontId="1" type="noConversion"/>
  </si>
  <si>
    <t>A00085714</t>
    <phoneticPr fontId="1" type="noConversion"/>
  </si>
  <si>
    <t>A236</t>
    <phoneticPr fontId="1" type="noConversion"/>
  </si>
  <si>
    <t>A237</t>
    <phoneticPr fontId="1" type="noConversion"/>
  </si>
  <si>
    <t>PTX-C2109</t>
    <phoneticPr fontId="1" type="noConversion"/>
  </si>
  <si>
    <t>前围板总成</t>
    <phoneticPr fontId="1" type="noConversion"/>
  </si>
  <si>
    <t>A00085700</t>
    <phoneticPr fontId="1" type="noConversion"/>
  </si>
  <si>
    <t>A238</t>
    <phoneticPr fontId="1" type="noConversion"/>
  </si>
  <si>
    <t>A239</t>
    <phoneticPr fontId="1" type="noConversion"/>
  </si>
  <si>
    <t>PTI-ZMF75-C25-4342</t>
    <phoneticPr fontId="1" type="noConversion"/>
  </si>
  <si>
    <t>前围下横梁总成</t>
    <phoneticPr fontId="1" type="noConversion"/>
  </si>
  <si>
    <t>A00091334</t>
    <phoneticPr fontId="1" type="noConversion"/>
  </si>
  <si>
    <t>门槛内板分总成左</t>
    <phoneticPr fontId="1" type="noConversion"/>
  </si>
  <si>
    <t>A00091595</t>
    <phoneticPr fontId="1" type="noConversion"/>
  </si>
  <si>
    <t>门槛内板分总成右</t>
    <phoneticPr fontId="1" type="noConversion"/>
  </si>
  <si>
    <t>A00085721</t>
    <phoneticPr fontId="1" type="noConversion"/>
  </si>
  <si>
    <t>A241</t>
    <phoneticPr fontId="1" type="noConversion"/>
  </si>
  <si>
    <t>A242</t>
    <phoneticPr fontId="1" type="noConversion"/>
  </si>
  <si>
    <t>PTI-ZMF75-X30-4030</t>
    <phoneticPr fontId="1" type="noConversion"/>
  </si>
  <si>
    <t>PTX-C1522</t>
    <phoneticPr fontId="1" type="noConversion"/>
  </si>
  <si>
    <t>A244</t>
    <phoneticPr fontId="1" type="noConversion"/>
  </si>
  <si>
    <t>PTI-ZMF75-C25-3330</t>
    <phoneticPr fontId="1" type="noConversion"/>
  </si>
  <si>
    <t>空气室下板总成</t>
    <phoneticPr fontId="1" type="noConversion"/>
  </si>
  <si>
    <t>A00085672</t>
    <phoneticPr fontId="1" type="noConversion"/>
  </si>
  <si>
    <t>空气室上板总成</t>
    <phoneticPr fontId="1" type="noConversion"/>
  </si>
  <si>
    <t>A00085696</t>
    <phoneticPr fontId="1" type="noConversion"/>
  </si>
  <si>
    <t>A211</t>
    <phoneticPr fontId="1" type="noConversion"/>
  </si>
  <si>
    <t>A212</t>
    <phoneticPr fontId="1" type="noConversion"/>
  </si>
  <si>
    <t>PTI-ZMF75-C30-3520</t>
    <phoneticPr fontId="1" type="noConversion"/>
  </si>
  <si>
    <t>PTI-ZMF75-X38-4520</t>
    <phoneticPr fontId="1" type="noConversion"/>
  </si>
  <si>
    <t>空气室总成</t>
    <phoneticPr fontId="1" type="noConversion"/>
  </si>
  <si>
    <t>A00085671</t>
    <phoneticPr fontId="1" type="noConversion"/>
  </si>
  <si>
    <t>A210</t>
    <phoneticPr fontId="1" type="noConversion"/>
  </si>
  <si>
    <t>PTI-ZMF75-C40-3120</t>
    <phoneticPr fontId="1" type="noConversion"/>
  </si>
  <si>
    <t>前地板</t>
    <phoneticPr fontId="1" type="noConversion"/>
  </si>
  <si>
    <t>A00085311</t>
    <phoneticPr fontId="1" type="noConversion"/>
  </si>
  <si>
    <t>下护板中安装支架组件</t>
    <phoneticPr fontId="1" type="noConversion"/>
  </si>
  <si>
    <t>A00066613</t>
    <phoneticPr fontId="1" type="noConversion"/>
  </si>
  <si>
    <t>中通道前加强板</t>
    <phoneticPr fontId="1" type="noConversion"/>
  </si>
  <si>
    <t>A00085312</t>
    <phoneticPr fontId="1" type="noConversion"/>
  </si>
  <si>
    <t>中通道后加强板总成</t>
    <phoneticPr fontId="1" type="noConversion"/>
  </si>
  <si>
    <t>A00085313</t>
    <phoneticPr fontId="1" type="noConversion"/>
  </si>
  <si>
    <t>《设备点检表》
《过程质量管理表》</t>
    <phoneticPr fontId="1" type="noConversion"/>
  </si>
  <si>
    <t>《设备点检表》
《过程质量管理表》</t>
    <phoneticPr fontId="1" type="noConversion"/>
  </si>
  <si>
    <t>A120</t>
    <phoneticPr fontId="1" type="noConversion"/>
  </si>
  <si>
    <t>A121</t>
    <phoneticPr fontId="1" type="noConversion"/>
  </si>
  <si>
    <t>A122</t>
    <phoneticPr fontId="1" type="noConversion"/>
  </si>
  <si>
    <t>PTC-C1110</t>
    <phoneticPr fontId="1" type="noConversion"/>
  </si>
  <si>
    <t>PTX-C1549</t>
    <phoneticPr fontId="1" type="noConversion"/>
  </si>
  <si>
    <t>前地板分总成10过程件</t>
    <phoneticPr fontId="1" type="noConversion"/>
  </si>
  <si>
    <t>前纵梁后段分总成-左</t>
    <phoneticPr fontId="1" type="noConversion"/>
  </si>
  <si>
    <t>前纵梁后段分总成-右</t>
    <phoneticPr fontId="1" type="noConversion"/>
  </si>
  <si>
    <t>A00086326</t>
    <phoneticPr fontId="1" type="noConversion"/>
  </si>
  <si>
    <t>A00086328</t>
    <phoneticPr fontId="1" type="noConversion"/>
  </si>
  <si>
    <t>/</t>
    <phoneticPr fontId="1" type="noConversion"/>
  </si>
  <si>
    <t>A123</t>
    <phoneticPr fontId="1" type="noConversion"/>
  </si>
  <si>
    <t>A124</t>
    <phoneticPr fontId="1" type="noConversion"/>
  </si>
  <si>
    <t>PTI-ZMF75-X25-6027</t>
    <phoneticPr fontId="1" type="noConversion"/>
  </si>
  <si>
    <t>前地板分总成30过程件</t>
    <phoneticPr fontId="1" type="noConversion"/>
  </si>
  <si>
    <t>中通道分总成</t>
    <phoneticPr fontId="1" type="noConversion"/>
  </si>
  <si>
    <t>A00085324</t>
    <phoneticPr fontId="1" type="noConversion"/>
  </si>
  <si>
    <t>A125</t>
    <phoneticPr fontId="1" type="noConversion"/>
  </si>
  <si>
    <t>A126</t>
    <phoneticPr fontId="1" type="noConversion"/>
  </si>
  <si>
    <t>PTI-ZMF75-X28-10728A</t>
    <phoneticPr fontId="1" type="noConversion"/>
  </si>
  <si>
    <t>门槛内板总成-左</t>
    <phoneticPr fontId="1" type="noConversion"/>
  </si>
  <si>
    <t>A00085316</t>
    <phoneticPr fontId="1" type="noConversion"/>
  </si>
  <si>
    <t>门槛内板总成-右</t>
    <phoneticPr fontId="1" type="noConversion"/>
  </si>
  <si>
    <t>A00085318</t>
    <phoneticPr fontId="1" type="noConversion"/>
  </si>
  <si>
    <t>前座椅后横梁总成-右</t>
    <phoneticPr fontId="1" type="noConversion"/>
  </si>
  <si>
    <t>A00090534</t>
    <phoneticPr fontId="1" type="noConversion"/>
  </si>
  <si>
    <t>前座椅后横梁总成-左</t>
    <phoneticPr fontId="1" type="noConversion"/>
  </si>
  <si>
    <t>A00090533</t>
    <phoneticPr fontId="1" type="noConversion"/>
  </si>
  <si>
    <t>前座椅前横梁总成-左</t>
    <phoneticPr fontId="1" type="noConversion"/>
  </si>
  <si>
    <t>A00085339</t>
    <phoneticPr fontId="1" type="noConversion"/>
  </si>
  <si>
    <t>前座椅前横梁总成-右</t>
    <phoneticPr fontId="1" type="noConversion"/>
  </si>
  <si>
    <t>A00085345</t>
    <phoneticPr fontId="1" type="noConversion"/>
  </si>
  <si>
    <t>A127</t>
    <phoneticPr fontId="1" type="noConversion"/>
  </si>
  <si>
    <t>A128</t>
    <phoneticPr fontId="1" type="noConversion"/>
  </si>
  <si>
    <t>A129</t>
    <phoneticPr fontId="1" type="noConversion"/>
  </si>
  <si>
    <t>A130</t>
    <phoneticPr fontId="1" type="noConversion"/>
  </si>
  <si>
    <t>PTI-ZMF75-X32-4020A</t>
    <phoneticPr fontId="1" type="noConversion"/>
  </si>
  <si>
    <t>PTI-ZMF75-X32-4020A</t>
    <phoneticPr fontId="1" type="noConversion"/>
  </si>
  <si>
    <t>前地板分总成50过程件</t>
    <phoneticPr fontId="1" type="noConversion"/>
  </si>
  <si>
    <t>前地板分总成40过程件</t>
    <phoneticPr fontId="1" type="noConversion"/>
  </si>
  <si>
    <t>A132</t>
    <phoneticPr fontId="1" type="noConversion"/>
  </si>
  <si>
    <t>A133</t>
    <phoneticPr fontId="1" type="noConversion"/>
  </si>
  <si>
    <t>A135</t>
    <phoneticPr fontId="1" type="noConversion"/>
  </si>
  <si>
    <t>A136</t>
    <phoneticPr fontId="1" type="noConversion"/>
  </si>
  <si>
    <t>PTI-ZMF75-X32-4020</t>
    <phoneticPr fontId="1" type="noConversion"/>
  </si>
  <si>
    <t>PTX-C2943</t>
    <phoneticPr fontId="1" type="noConversion"/>
  </si>
  <si>
    <t>前地板分总成60过程件</t>
    <phoneticPr fontId="1" type="noConversion"/>
  </si>
  <si>
    <t>前地板中前纵梁-左</t>
    <phoneticPr fontId="1" type="noConversion"/>
  </si>
  <si>
    <t>A00090286</t>
    <phoneticPr fontId="1" type="noConversion"/>
  </si>
  <si>
    <t>A137</t>
    <phoneticPr fontId="1" type="noConversion"/>
  </si>
  <si>
    <t>A138</t>
    <phoneticPr fontId="1" type="noConversion"/>
  </si>
  <si>
    <t>PTX-C0802</t>
    <phoneticPr fontId="1" type="noConversion"/>
  </si>
  <si>
    <t>PTX-C1548</t>
    <phoneticPr fontId="1" type="noConversion"/>
  </si>
  <si>
    <t>前机舱分总成-右</t>
    <phoneticPr fontId="1" type="noConversion"/>
  </si>
  <si>
    <t>A00086189</t>
    <phoneticPr fontId="1" type="noConversion"/>
  </si>
  <si>
    <t>前机舱分总成-左</t>
    <phoneticPr fontId="1" type="noConversion"/>
  </si>
  <si>
    <t>A00086188</t>
    <phoneticPr fontId="1" type="noConversion"/>
  </si>
  <si>
    <t>前围总成件(7DCT/MT)</t>
    <phoneticPr fontId="1" type="noConversion"/>
  </si>
  <si>
    <t>A00085722/
A00085700</t>
    <phoneticPr fontId="1" type="noConversion"/>
  </si>
  <si>
    <t>ER10R1</t>
    <phoneticPr fontId="1" type="noConversion"/>
  </si>
  <si>
    <t>ER10R2</t>
    <phoneticPr fontId="1" type="noConversion"/>
  </si>
  <si>
    <t>前机舱总成-7DCT/MT</t>
    <phoneticPr fontId="1" type="noConversion"/>
  </si>
  <si>
    <t>A00086191/
A00086190</t>
    <phoneticPr fontId="1" type="noConversion"/>
  </si>
  <si>
    <t>《设备点检表》</t>
    <phoneticPr fontId="1" type="noConversion"/>
  </si>
  <si>
    <t>ER20R1</t>
    <phoneticPr fontId="1" type="noConversion"/>
  </si>
  <si>
    <t>A柱下内板总成-左</t>
    <phoneticPr fontId="1" type="noConversion"/>
  </si>
  <si>
    <t>A柱下内板总成-右</t>
    <phoneticPr fontId="1" type="noConversion"/>
  </si>
  <si>
    <t>A00085716</t>
    <phoneticPr fontId="1" type="noConversion"/>
  </si>
  <si>
    <t>A00085720</t>
    <phoneticPr fontId="1" type="noConversion"/>
  </si>
  <si>
    <t>《设备点检表》</t>
    <phoneticPr fontId="1" type="noConversion"/>
  </si>
  <si>
    <t>ER30R1</t>
    <phoneticPr fontId="1" type="noConversion"/>
  </si>
  <si>
    <t>ER30R2</t>
    <phoneticPr fontId="1" type="noConversion"/>
  </si>
  <si>
    <t>ER40R1</t>
    <phoneticPr fontId="1" type="noConversion"/>
  </si>
  <si>
    <t>《设备点检表》</t>
    <phoneticPr fontId="1" type="noConversion"/>
  </si>
  <si>
    <t>前地板总成</t>
    <phoneticPr fontId="1" type="noConversion"/>
  </si>
  <si>
    <t xml:space="preserve">A00097121 </t>
    <phoneticPr fontId="1" type="noConversion"/>
  </si>
  <si>
    <t>《设备点检表》</t>
    <phoneticPr fontId="1" type="noConversion"/>
  </si>
  <si>
    <t>ER5051</t>
    <phoneticPr fontId="1" type="noConversion"/>
  </si>
  <si>
    <t>ER50R2</t>
    <phoneticPr fontId="1" type="noConversion"/>
  </si>
  <si>
    <t>A00093057/56</t>
    <phoneticPr fontId="1" type="noConversion"/>
  </si>
  <si>
    <t>下车体前部总成7DCT/MT</t>
    <phoneticPr fontId="1" type="noConversion"/>
  </si>
  <si>
    <t>ER60R1</t>
    <phoneticPr fontId="1" type="noConversion"/>
  </si>
  <si>
    <t>ER70R1</t>
    <phoneticPr fontId="1" type="noConversion"/>
  </si>
  <si>
    <t>ER70R2</t>
    <phoneticPr fontId="1" type="noConversion"/>
  </si>
  <si>
    <t>ER70R3</t>
    <phoneticPr fontId="1" type="noConversion"/>
  </si>
  <si>
    <t>ER70R4</t>
    <phoneticPr fontId="1" type="noConversion"/>
  </si>
  <si>
    <t>ER80R1</t>
    <phoneticPr fontId="1" type="noConversion"/>
  </si>
  <si>
    <t>后地板总成</t>
    <phoneticPr fontId="1" type="noConversion"/>
  </si>
  <si>
    <t>A00084862</t>
    <phoneticPr fontId="1" type="noConversion"/>
  </si>
  <si>
    <t>UB0301A</t>
    <phoneticPr fontId="1" type="noConversion"/>
  </si>
  <si>
    <t>UB0301B</t>
    <phoneticPr fontId="1" type="noConversion"/>
  </si>
  <si>
    <t>UB0401A</t>
    <phoneticPr fontId="1" type="noConversion"/>
  </si>
  <si>
    <t>UB0401B</t>
    <phoneticPr fontId="1" type="noConversion"/>
  </si>
  <si>
    <t>UB0402A</t>
    <phoneticPr fontId="1" type="noConversion"/>
  </si>
  <si>
    <t>UB0402B</t>
    <phoneticPr fontId="1" type="noConversion"/>
  </si>
  <si>
    <t>下车体分总成7DCT/MT</t>
    <phoneticPr fontId="1" type="noConversion"/>
  </si>
  <si>
    <t>A00086068/67</t>
    <phoneticPr fontId="1" type="noConversion"/>
  </si>
  <si>
    <t>UB0501A</t>
    <phoneticPr fontId="1" type="noConversion"/>
  </si>
  <si>
    <t>UB0501B</t>
    <phoneticPr fontId="1" type="noConversion"/>
  </si>
  <si>
    <t>UB0502A</t>
    <phoneticPr fontId="1" type="noConversion"/>
  </si>
  <si>
    <t>UB0502B</t>
    <phoneticPr fontId="1" type="noConversion"/>
  </si>
  <si>
    <t>UB0701A</t>
    <phoneticPr fontId="1" type="noConversion"/>
  </si>
  <si>
    <t>UB0701B</t>
    <phoneticPr fontId="1" type="noConversion"/>
  </si>
  <si>
    <t>UB0702A</t>
    <phoneticPr fontId="1" type="noConversion"/>
  </si>
  <si>
    <t>UB0702B</t>
    <phoneticPr fontId="1" type="noConversion"/>
  </si>
  <si>
    <t>A00086066/65</t>
    <phoneticPr fontId="1" type="noConversion"/>
  </si>
  <si>
    <t>UB0801B</t>
    <phoneticPr fontId="1" type="noConversion"/>
  </si>
  <si>
    <t>UB0802A</t>
    <phoneticPr fontId="1" type="noConversion"/>
  </si>
  <si>
    <t>UB0802B</t>
    <phoneticPr fontId="1" type="noConversion"/>
  </si>
  <si>
    <t>UB0801A</t>
    <phoneticPr fontId="1" type="noConversion"/>
  </si>
  <si>
    <t>UB0901A</t>
    <phoneticPr fontId="1" type="noConversion"/>
  </si>
  <si>
    <t>UB0901B</t>
    <phoneticPr fontId="1" type="noConversion"/>
  </si>
  <si>
    <t>UB0902A</t>
    <phoneticPr fontId="1" type="noConversion"/>
  </si>
  <si>
    <t>UB0902B</t>
    <phoneticPr fontId="1" type="noConversion"/>
  </si>
  <si>
    <t>《设备点检表》</t>
    <phoneticPr fontId="1" type="noConversion"/>
  </si>
  <si>
    <t>《设备点检表》</t>
    <phoneticPr fontId="1" type="noConversion"/>
  </si>
  <si>
    <t>SDEX-C0384(LX1)</t>
    <phoneticPr fontId="1" type="noConversion"/>
  </si>
  <si>
    <t>SDEX-C0385(LX2)固定）</t>
    <phoneticPr fontId="1" type="noConversion"/>
  </si>
  <si>
    <t>SDEC-C0250-R</t>
    <phoneticPr fontId="1" type="noConversion"/>
  </si>
  <si>
    <t>SDEC-C0250-L</t>
    <phoneticPr fontId="1" type="noConversion"/>
  </si>
  <si>
    <t>SDEC-C0251-L（固定）</t>
    <phoneticPr fontId="1" type="noConversion"/>
  </si>
  <si>
    <t>SDEX-C0386(LX3)</t>
    <phoneticPr fontId="1" type="noConversion"/>
  </si>
  <si>
    <t>SDEX-C0390(LX3)</t>
    <phoneticPr fontId="1" type="noConversion"/>
  </si>
  <si>
    <t>SRTC-S2C5758（LX8）固定</t>
    <phoneticPr fontId="1" type="noConversion"/>
  </si>
  <si>
    <t>SDEX-C0387(RX3)</t>
    <phoneticPr fontId="1" type="noConversion"/>
  </si>
  <si>
    <t>SDEX-C0387(LX3)</t>
    <phoneticPr fontId="1" type="noConversion"/>
  </si>
  <si>
    <t>SDEX-C0388(RX3)</t>
    <phoneticPr fontId="1" type="noConversion"/>
  </si>
  <si>
    <t>SDEX-C0388(LX3)</t>
    <phoneticPr fontId="1" type="noConversion"/>
  </si>
  <si>
    <t>SRTC-C1126B固定</t>
    <phoneticPr fontId="1" type="noConversion"/>
  </si>
  <si>
    <t>SRTX-C1008-RX3</t>
    <phoneticPr fontId="1" type="noConversion"/>
  </si>
  <si>
    <t>SRTX-C1008-LX3</t>
    <phoneticPr fontId="1" type="noConversion"/>
  </si>
  <si>
    <t>95.020.113-E02（X）</t>
    <phoneticPr fontId="1" type="noConversion"/>
  </si>
  <si>
    <t>RTC-C1612-LX4</t>
    <phoneticPr fontId="1" type="noConversion"/>
  </si>
  <si>
    <t>SRTX-2C1656（R）</t>
    <phoneticPr fontId="1" type="noConversion"/>
  </si>
  <si>
    <t>SRTX-2C1656（L）</t>
    <phoneticPr fontId="1" type="noConversion"/>
  </si>
  <si>
    <t>SDEX-C0389(RX4)</t>
    <phoneticPr fontId="1" type="noConversion"/>
  </si>
  <si>
    <t>SDEX-C0389(LX4)</t>
    <phoneticPr fontId="1" type="noConversion"/>
  </si>
  <si>
    <t>SRTX-C1004C-LX5</t>
    <phoneticPr fontId="1" type="noConversion"/>
  </si>
  <si>
    <t>SRTX-C1004B-LX1</t>
    <phoneticPr fontId="1" type="noConversion"/>
  </si>
  <si>
    <t>SRTC-C1125A-LX4(L)</t>
    <phoneticPr fontId="1" type="noConversion"/>
  </si>
  <si>
    <t>SRTX-C1005A-LX3(L)</t>
    <phoneticPr fontId="1" type="noConversion"/>
  </si>
  <si>
    <t>SRTX-C1005A-LX3(R）</t>
    <phoneticPr fontId="1" type="noConversion"/>
  </si>
  <si>
    <t>SRTX-2C5870(L)</t>
    <phoneticPr fontId="1" type="noConversion"/>
  </si>
  <si>
    <t>SRTX-C1005B-LX3</t>
    <phoneticPr fontId="1" type="noConversion"/>
  </si>
  <si>
    <t>SRTX-C1005B-RX3</t>
    <phoneticPr fontId="1" type="noConversion"/>
  </si>
  <si>
    <t>SRTX-C1005D-LX1</t>
    <phoneticPr fontId="1" type="noConversion"/>
  </si>
  <si>
    <t>SRTX-C1005D-RX1</t>
    <phoneticPr fontId="1" type="noConversion"/>
  </si>
  <si>
    <t>SDEX-C0384(RX1)</t>
    <phoneticPr fontId="1" type="noConversion"/>
  </si>
  <si>
    <t>后围总成</t>
    <phoneticPr fontId="1" type="noConversion"/>
  </si>
  <si>
    <t>A00085389</t>
    <phoneticPr fontId="1" type="noConversion"/>
  </si>
  <si>
    <t>SRTX-2C5870（R）</t>
    <phoneticPr fontId="1" type="noConversion"/>
  </si>
  <si>
    <t>SRTC-C1125A-RX4（R）</t>
    <phoneticPr fontId="1" type="noConversion"/>
  </si>
  <si>
    <t>《设备点检表》</t>
    <phoneticPr fontId="1" type="noConversion"/>
  </si>
  <si>
    <t>φ13mm</t>
  </si>
  <si>
    <t>博世</t>
  </si>
  <si>
    <t>《设备点检表》
《过程质量管理表》</t>
  </si>
  <si>
    <t>6±1mm</t>
    <phoneticPr fontId="1" type="noConversion"/>
  </si>
  <si>
    <t>PTX-C2112</t>
    <phoneticPr fontId="1" type="noConversion"/>
  </si>
  <si>
    <t>A00090496</t>
    <phoneticPr fontId="1" type="noConversion"/>
  </si>
  <si>
    <t>白车身骨架分总成1-7DCT</t>
    <phoneticPr fontId="1" type="noConversion"/>
  </si>
  <si>
    <t>A00085934</t>
    <phoneticPr fontId="1" type="noConversion"/>
  </si>
  <si>
    <t>白车身骨架分总成1-6MT</t>
    <phoneticPr fontId="1" type="noConversion"/>
  </si>
  <si>
    <t>2101A</t>
    <phoneticPr fontId="1" type="noConversion"/>
  </si>
  <si>
    <t>SRTC-C0998B-LX4</t>
    <phoneticPr fontId="1" type="noConversion"/>
  </si>
  <si>
    <t>2102B</t>
    <phoneticPr fontId="1" type="noConversion"/>
  </si>
  <si>
    <t>SRTC-C1113-LX5®</t>
    <phoneticPr fontId="1" type="noConversion"/>
  </si>
  <si>
    <t>A00085112</t>
    <phoneticPr fontId="1" type="noConversion"/>
  </si>
  <si>
    <t>顶盖总成（天窗版）</t>
    <phoneticPr fontId="1" type="noConversion"/>
  </si>
  <si>
    <t>A00085087</t>
    <phoneticPr fontId="1" type="noConversion"/>
  </si>
  <si>
    <t>顶盖总成（非天窗版）</t>
    <phoneticPr fontId="1" type="noConversion"/>
  </si>
  <si>
    <t>发动机盖内板</t>
    <phoneticPr fontId="1" type="noConversion"/>
  </si>
  <si>
    <t>A00083193</t>
    <phoneticPr fontId="1" type="noConversion"/>
  </si>
  <si>
    <t>《设备点检表》
《工装点检表》
《过程质量管理表》</t>
    <phoneticPr fontId="1" type="noConversion"/>
  </si>
  <si>
    <t>PTC-C1126</t>
    <phoneticPr fontId="1" type="noConversion"/>
  </si>
  <si>
    <t>机盖加强板</t>
    <phoneticPr fontId="1" type="noConversion"/>
  </si>
  <si>
    <t>A00083192</t>
    <phoneticPr fontId="1" type="noConversion"/>
  </si>
  <si>
    <t>发动机盖铰链加强板总成-左</t>
    <phoneticPr fontId="1" type="noConversion"/>
  </si>
  <si>
    <t>A00083194</t>
    <phoneticPr fontId="1" type="noConversion"/>
  </si>
  <si>
    <t>发动机盖铰链加强板总成-右</t>
    <phoneticPr fontId="1" type="noConversion"/>
  </si>
  <si>
    <t>A00083196</t>
    <phoneticPr fontId="1" type="noConversion"/>
  </si>
  <si>
    <t>锁扣加强板总成</t>
    <phoneticPr fontId="1" type="noConversion"/>
  </si>
  <si>
    <t>A00083198</t>
    <phoneticPr fontId="1" type="noConversion"/>
  </si>
  <si>
    <t>机盖气撑杆加强板总成</t>
    <phoneticPr fontId="1" type="noConversion"/>
  </si>
  <si>
    <t>A00087636</t>
    <phoneticPr fontId="1" type="noConversion"/>
  </si>
  <si>
    <t>发动机盖内板总成</t>
    <phoneticPr fontId="1" type="noConversion"/>
  </si>
  <si>
    <t>A00083191</t>
    <phoneticPr fontId="1" type="noConversion"/>
  </si>
  <si>
    <t>尾门内板（高配/低配）</t>
    <phoneticPr fontId="1" type="noConversion"/>
  </si>
  <si>
    <t>A00083088
A00091326</t>
    <phoneticPr fontId="1" type="noConversion"/>
  </si>
  <si>
    <t>《设备点检表》
《工装点检表》
《过程质量管理表》</t>
    <phoneticPr fontId="1" type="noConversion"/>
  </si>
  <si>
    <t>PTC-N0051</t>
    <phoneticPr fontId="1" type="noConversion"/>
  </si>
  <si>
    <t>雨刮电机支架加强板组件</t>
    <phoneticPr fontId="1" type="noConversion"/>
  </si>
  <si>
    <t>A00092796</t>
    <phoneticPr fontId="1" type="noConversion"/>
  </si>
  <si>
    <t>PTX-N0049</t>
    <phoneticPr fontId="1" type="noConversion"/>
  </si>
  <si>
    <t>尾门左上窗框加强板总成</t>
    <phoneticPr fontId="1" type="noConversion"/>
  </si>
  <si>
    <t>A00088042</t>
    <phoneticPr fontId="1" type="noConversion"/>
  </si>
  <si>
    <t>尾门右上窗框加强板总成</t>
    <phoneticPr fontId="1" type="noConversion"/>
  </si>
  <si>
    <t>A00088039</t>
    <phoneticPr fontId="1" type="noConversion"/>
  </si>
  <si>
    <t>尾门限位块安装固定支架组件</t>
    <phoneticPr fontId="1" type="noConversion"/>
  </si>
  <si>
    <t>A00083100</t>
    <phoneticPr fontId="1" type="noConversion"/>
  </si>
  <si>
    <t>尾门扣手盒支架</t>
    <phoneticPr fontId="1" type="noConversion"/>
  </si>
  <si>
    <t>A00090066</t>
    <phoneticPr fontId="1" type="noConversion"/>
  </si>
  <si>
    <t>尾门内板分总成</t>
    <phoneticPr fontId="1" type="noConversion"/>
  </si>
  <si>
    <t>PTC-N0047</t>
    <phoneticPr fontId="1" type="noConversion"/>
  </si>
  <si>
    <t>尾门铰链加强板总成-左</t>
    <phoneticPr fontId="1" type="noConversion"/>
  </si>
  <si>
    <t>A00088041</t>
    <phoneticPr fontId="1" type="noConversion"/>
  </si>
  <si>
    <t>PTC-C1560</t>
    <phoneticPr fontId="1" type="noConversion"/>
  </si>
  <si>
    <t>尾门铰链加强板总成-右</t>
    <phoneticPr fontId="1" type="noConversion"/>
  </si>
  <si>
    <t>A00088040</t>
    <phoneticPr fontId="1" type="noConversion"/>
  </si>
  <si>
    <t>尾门锁加强板</t>
    <phoneticPr fontId="1" type="noConversion"/>
  </si>
  <si>
    <t>A00083094</t>
    <phoneticPr fontId="1" type="noConversion"/>
  </si>
  <si>
    <t>尾门内板总成（低配/高配）</t>
    <phoneticPr fontId="1" type="noConversion"/>
  </si>
  <si>
    <t>A00083104
A00083081</t>
    <phoneticPr fontId="1" type="noConversion"/>
  </si>
  <si>
    <t>尾门外板</t>
    <phoneticPr fontId="1" type="noConversion"/>
  </si>
  <si>
    <t>A00083087</t>
    <phoneticPr fontId="1" type="noConversion"/>
  </si>
  <si>
    <t>PTX-C1559</t>
    <phoneticPr fontId="1" type="noConversion"/>
  </si>
  <si>
    <t>尾灯安装板-左</t>
    <phoneticPr fontId="1" type="noConversion"/>
  </si>
  <si>
    <t>A00083079</t>
    <phoneticPr fontId="1" type="noConversion"/>
  </si>
  <si>
    <t>PTX-N0050</t>
    <phoneticPr fontId="1" type="noConversion"/>
  </si>
  <si>
    <t>尾门外板总成</t>
    <phoneticPr fontId="1" type="noConversion"/>
  </si>
  <si>
    <t>A00083083</t>
    <phoneticPr fontId="1" type="noConversion"/>
  </si>
  <si>
    <t>尾门总成（高配/低配）</t>
    <phoneticPr fontId="1" type="noConversion"/>
  </si>
  <si>
    <t>A00083082/A00083103</t>
    <phoneticPr fontId="1" type="noConversion"/>
  </si>
  <si>
    <t>RTC-C0888</t>
    <phoneticPr fontId="1" type="noConversion"/>
  </si>
  <si>
    <t>尾门总成（高配）</t>
    <phoneticPr fontId="1" type="noConversion"/>
  </si>
  <si>
    <t>A00083082</t>
    <phoneticPr fontId="1" type="noConversion"/>
  </si>
  <si>
    <t>PTC-C1113</t>
    <phoneticPr fontId="1" type="noConversion"/>
  </si>
  <si>
    <t>尾门总成（低配）</t>
    <phoneticPr fontId="1" type="noConversion"/>
  </si>
  <si>
    <t>A00083103</t>
    <phoneticPr fontId="1" type="noConversion"/>
  </si>
  <si>
    <t>尾门铰链总成</t>
    <phoneticPr fontId="1" type="noConversion"/>
  </si>
  <si>
    <t>A00083102</t>
    <phoneticPr fontId="1" type="noConversion"/>
  </si>
  <si>
    <t>前门内板-左</t>
    <phoneticPr fontId="1" type="noConversion"/>
  </si>
  <si>
    <t>A00083648</t>
    <phoneticPr fontId="1" type="noConversion"/>
  </si>
  <si>
    <t>PTX-C1528</t>
    <phoneticPr fontId="1" type="noConversion"/>
  </si>
  <si>
    <t>前门窗框加强板总成-左</t>
    <phoneticPr fontId="1" type="noConversion"/>
  </si>
  <si>
    <t>A00088847</t>
    <phoneticPr fontId="1" type="noConversion"/>
  </si>
  <si>
    <t>PTC-C1121</t>
    <phoneticPr fontId="1" type="noConversion"/>
  </si>
  <si>
    <t>前门锁加强板-左</t>
    <phoneticPr fontId="1" type="noConversion"/>
  </si>
  <si>
    <t>A00083652</t>
    <phoneticPr fontId="1" type="noConversion"/>
  </si>
  <si>
    <t>前门下铰链加强板-左</t>
    <phoneticPr fontId="1" type="noConversion"/>
  </si>
  <si>
    <t>A00083690</t>
    <phoneticPr fontId="1" type="noConversion"/>
  </si>
  <si>
    <t>铰链加强板总成</t>
    <phoneticPr fontId="1" type="noConversion"/>
  </si>
  <si>
    <t>A00053276</t>
    <phoneticPr fontId="1" type="noConversion"/>
  </si>
  <si>
    <t>前门内板分总成-左</t>
    <phoneticPr fontId="1" type="noConversion"/>
  </si>
  <si>
    <t>A00083647</t>
    <phoneticPr fontId="1" type="noConversion"/>
  </si>
  <si>
    <t>PTX-C1516</t>
    <phoneticPr fontId="1" type="noConversion"/>
  </si>
  <si>
    <t>PTC-C1122</t>
    <phoneticPr fontId="1" type="noConversion"/>
  </si>
  <si>
    <t>PTX-C1558</t>
    <phoneticPr fontId="1" type="noConversion"/>
  </si>
  <si>
    <t>A00086472</t>
    <phoneticPr fontId="1" type="noConversion"/>
  </si>
  <si>
    <t>PTC-C1550</t>
    <phoneticPr fontId="1" type="noConversion"/>
  </si>
  <si>
    <t>前门防撞梁-左</t>
    <phoneticPr fontId="1" type="noConversion"/>
  </si>
  <si>
    <t>A00083686</t>
    <phoneticPr fontId="1" type="noConversion"/>
  </si>
  <si>
    <t>A00083651</t>
    <phoneticPr fontId="1" type="noConversion"/>
  </si>
  <si>
    <t>A00100731</t>
    <phoneticPr fontId="1" type="noConversion"/>
  </si>
  <si>
    <t>后门内板-左</t>
    <phoneticPr fontId="1" type="noConversion"/>
  </si>
  <si>
    <t>A00083309</t>
    <phoneticPr fontId="1" type="noConversion"/>
  </si>
  <si>
    <t>PTC-C1125</t>
    <phoneticPr fontId="1" type="noConversion"/>
  </si>
  <si>
    <t>后门窗框加强板总成-左</t>
    <phoneticPr fontId="1" type="noConversion"/>
  </si>
  <si>
    <t>A00088852</t>
    <phoneticPr fontId="1" type="noConversion"/>
  </si>
  <si>
    <t>PTX-C1529</t>
    <phoneticPr fontId="1" type="noConversion"/>
  </si>
  <si>
    <t>后门锁加强板-左</t>
    <phoneticPr fontId="1" type="noConversion"/>
  </si>
  <si>
    <t>A00083307</t>
    <phoneticPr fontId="1" type="noConversion"/>
  </si>
  <si>
    <t>后门下铰链加强板-左</t>
    <phoneticPr fontId="1" type="noConversion"/>
  </si>
  <si>
    <t>A00083749</t>
    <phoneticPr fontId="1" type="noConversion"/>
  </si>
  <si>
    <t>后门内板分总成-左</t>
    <phoneticPr fontId="1" type="noConversion"/>
  </si>
  <si>
    <t>A00083308</t>
    <phoneticPr fontId="1" type="noConversion"/>
  </si>
  <si>
    <t>PTX-C1530</t>
    <phoneticPr fontId="1" type="noConversion"/>
  </si>
  <si>
    <t>PTC-N0047-G</t>
    <phoneticPr fontId="1" type="noConversion"/>
  </si>
  <si>
    <t>A00083306</t>
    <phoneticPr fontId="1" type="noConversion"/>
  </si>
  <si>
    <t>PTC-1118</t>
    <phoneticPr fontId="1" type="noConversion"/>
  </si>
  <si>
    <t>PTX-C1531</t>
    <phoneticPr fontId="1" type="noConversion"/>
  </si>
  <si>
    <t>A00083310</t>
    <phoneticPr fontId="1" type="noConversion"/>
  </si>
  <si>
    <t>PTC-1619</t>
    <phoneticPr fontId="1" type="noConversion"/>
  </si>
  <si>
    <t>后门防撞梁-左</t>
    <phoneticPr fontId="1" type="noConversion"/>
  </si>
  <si>
    <t>A00083688</t>
    <phoneticPr fontId="1" type="noConversion"/>
  </si>
  <si>
    <t>A00100971</t>
    <phoneticPr fontId="1" type="noConversion"/>
  </si>
  <si>
    <t>后门钣金总成-左（低配）</t>
    <phoneticPr fontId="1" type="noConversion"/>
  </si>
  <si>
    <t>A00083303</t>
    <phoneticPr fontId="1" type="noConversion"/>
  </si>
  <si>
    <t>后门钣金总成-左（高配）</t>
    <phoneticPr fontId="1" type="noConversion"/>
  </si>
  <si>
    <t>A00098665</t>
    <phoneticPr fontId="1" type="noConversion"/>
  </si>
  <si>
    <t>前门内板-右</t>
    <phoneticPr fontId="1" type="noConversion"/>
  </si>
  <si>
    <t>A00083659</t>
    <phoneticPr fontId="1" type="noConversion"/>
  </si>
  <si>
    <t>前门窗框加强板总成-右</t>
    <phoneticPr fontId="1" type="noConversion"/>
  </si>
  <si>
    <t>A00088848</t>
    <phoneticPr fontId="1" type="noConversion"/>
  </si>
  <si>
    <t>PTC-C1111-A</t>
    <phoneticPr fontId="1" type="noConversion"/>
  </si>
  <si>
    <t>前门锁加强板-右</t>
    <phoneticPr fontId="1" type="noConversion"/>
  </si>
  <si>
    <t>A00083661</t>
    <phoneticPr fontId="1" type="noConversion"/>
  </si>
  <si>
    <t>前门下铰链加强板-右</t>
    <phoneticPr fontId="1" type="noConversion"/>
  </si>
  <si>
    <t>A00083691</t>
    <phoneticPr fontId="1" type="noConversion"/>
  </si>
  <si>
    <t>前门内板分总成-右</t>
    <phoneticPr fontId="1" type="noConversion"/>
  </si>
  <si>
    <t>A00083658</t>
    <phoneticPr fontId="1" type="noConversion"/>
  </si>
  <si>
    <t>前门内板分总成-右</t>
    <phoneticPr fontId="1" type="noConversion"/>
  </si>
  <si>
    <t>A00083658</t>
    <phoneticPr fontId="1" type="noConversion"/>
  </si>
  <si>
    <t>PTX-C1528</t>
    <phoneticPr fontId="1" type="noConversion"/>
  </si>
  <si>
    <t>A00086473</t>
    <phoneticPr fontId="1" type="noConversion"/>
  </si>
  <si>
    <t>前门防撞梁-右</t>
    <phoneticPr fontId="1" type="noConversion"/>
  </si>
  <si>
    <t>A00083687</t>
    <phoneticPr fontId="1" type="noConversion"/>
  </si>
  <si>
    <t>A00083662</t>
    <phoneticPr fontId="1" type="noConversion"/>
  </si>
  <si>
    <t>A00100972</t>
    <phoneticPr fontId="1" type="noConversion"/>
  </si>
  <si>
    <t>PTC-C1121</t>
    <phoneticPr fontId="1" type="noConversion"/>
  </si>
  <si>
    <t>前门防撞梁-右</t>
    <phoneticPr fontId="1" type="noConversion"/>
  </si>
  <si>
    <t>A00083687</t>
    <phoneticPr fontId="1" type="noConversion"/>
  </si>
  <si>
    <t>后门内板-右</t>
    <phoneticPr fontId="1" type="noConversion"/>
  </si>
  <si>
    <t>A00083317</t>
    <phoneticPr fontId="1" type="noConversion"/>
  </si>
  <si>
    <t>PTC-C1125</t>
    <phoneticPr fontId="1" type="noConversion"/>
  </si>
  <si>
    <t>后门窗框加强板总成-右</t>
    <phoneticPr fontId="1" type="noConversion"/>
  </si>
  <si>
    <t>A00088856</t>
    <phoneticPr fontId="1" type="noConversion"/>
  </si>
  <si>
    <t>PTX-C1531</t>
    <phoneticPr fontId="1" type="noConversion"/>
  </si>
  <si>
    <t>后门锁加强板-右</t>
    <phoneticPr fontId="1" type="noConversion"/>
  </si>
  <si>
    <t>A00083315</t>
    <phoneticPr fontId="1" type="noConversion"/>
  </si>
  <si>
    <t>PTC-1619</t>
    <phoneticPr fontId="1" type="noConversion"/>
  </si>
  <si>
    <t>后门下铰链加强板-右</t>
    <phoneticPr fontId="1" type="noConversion"/>
  </si>
  <si>
    <t>A00083771</t>
    <phoneticPr fontId="1" type="noConversion"/>
  </si>
  <si>
    <t>铰链加强板总成</t>
    <phoneticPr fontId="1" type="noConversion"/>
  </si>
  <si>
    <t>A00053276</t>
    <phoneticPr fontId="1" type="noConversion"/>
  </si>
  <si>
    <t>后门内板分总成-右</t>
    <phoneticPr fontId="1" type="noConversion"/>
  </si>
  <si>
    <t>A00083316</t>
    <phoneticPr fontId="1" type="noConversion"/>
  </si>
  <si>
    <t>PTX-C1530</t>
    <phoneticPr fontId="1" type="noConversion"/>
  </si>
  <si>
    <t>PTC-C1124</t>
    <phoneticPr fontId="1" type="noConversion"/>
  </si>
  <si>
    <t>PTC-N0047</t>
    <phoneticPr fontId="1" type="noConversion"/>
  </si>
  <si>
    <t>A00083314</t>
    <phoneticPr fontId="1" type="noConversion"/>
  </si>
  <si>
    <t>PTC-1123</t>
    <phoneticPr fontId="1" type="noConversion"/>
  </si>
  <si>
    <t>PTX-C1529</t>
    <phoneticPr fontId="1" type="noConversion"/>
  </si>
  <si>
    <t>A00083318</t>
    <phoneticPr fontId="1" type="noConversion"/>
  </si>
  <si>
    <t>后门防撞梁-右</t>
    <phoneticPr fontId="1" type="noConversion"/>
  </si>
  <si>
    <t>A00083689</t>
    <phoneticPr fontId="1" type="noConversion"/>
  </si>
  <si>
    <t>A00100843</t>
    <phoneticPr fontId="1" type="noConversion"/>
  </si>
  <si>
    <t>A00100748</t>
    <phoneticPr fontId="1" type="noConversion"/>
  </si>
  <si>
    <t>后门钣金总成-右（低配）</t>
    <phoneticPr fontId="1" type="noConversion"/>
  </si>
  <si>
    <t>A00083311</t>
    <phoneticPr fontId="1" type="noConversion"/>
  </si>
  <si>
    <t>RTC-C0888</t>
    <phoneticPr fontId="1" type="noConversion"/>
  </si>
  <si>
    <t>后门钣金总成-右（高配）</t>
    <phoneticPr fontId="1" type="noConversion"/>
  </si>
  <si>
    <t>A00098666</t>
    <phoneticPr fontId="1" type="noConversion"/>
  </si>
  <si>
    <t>A00084879</t>
    <phoneticPr fontId="1" type="noConversion"/>
  </si>
  <si>
    <t>A柱上部内隔音板-左</t>
    <phoneticPr fontId="1" type="noConversion"/>
  </si>
  <si>
    <t>《设备点检表》
《过程质量管理表》</t>
    <phoneticPr fontId="1" type="noConversion"/>
  </si>
  <si>
    <t>B103</t>
    <phoneticPr fontId="1" type="noConversion"/>
  </si>
  <si>
    <t>PTX-C0804</t>
    <phoneticPr fontId="1" type="noConversion"/>
  </si>
  <si>
    <t>6±1mm</t>
    <phoneticPr fontId="1" type="noConversion"/>
  </si>
  <si>
    <t>A00091030</t>
    <phoneticPr fontId="1" type="noConversion"/>
  </si>
  <si>
    <t>A柱上内板总成-左</t>
    <phoneticPr fontId="1" type="noConversion"/>
  </si>
  <si>
    <t>A00086011</t>
    <phoneticPr fontId="1" type="noConversion"/>
  </si>
  <si>
    <t>侧围上边梁内板总成-左</t>
    <phoneticPr fontId="1" type="noConversion"/>
  </si>
  <si>
    <t>A00086013</t>
    <phoneticPr fontId="1" type="noConversion"/>
  </si>
  <si>
    <t>B柱内板总成-左</t>
    <phoneticPr fontId="1" type="noConversion"/>
  </si>
  <si>
    <t>A00085991</t>
    <phoneticPr fontId="1" type="noConversion"/>
  </si>
  <si>
    <t>B柱加强板总成-左</t>
    <phoneticPr fontId="1" type="noConversion"/>
  </si>
  <si>
    <t>B111</t>
    <phoneticPr fontId="1" type="noConversion"/>
  </si>
  <si>
    <t>PTI-ZMF75-C30-2820</t>
    <phoneticPr fontId="1" type="noConversion"/>
  </si>
  <si>
    <t>A00086003</t>
    <phoneticPr fontId="1" type="noConversion"/>
  </si>
  <si>
    <t>上边梁加强板-左</t>
    <phoneticPr fontId="1" type="noConversion"/>
  </si>
  <si>
    <t>B112</t>
    <phoneticPr fontId="1" type="noConversion"/>
  </si>
  <si>
    <t>PTX-C1579</t>
    <phoneticPr fontId="1" type="noConversion"/>
  </si>
  <si>
    <t>A00086004</t>
    <phoneticPr fontId="1" type="noConversion"/>
  </si>
  <si>
    <t>A柱上加强板-左</t>
    <phoneticPr fontId="1" type="noConversion"/>
  </si>
  <si>
    <t>B118</t>
    <phoneticPr fontId="1" type="noConversion"/>
  </si>
  <si>
    <t>PTX-C1521</t>
    <phoneticPr fontId="1" type="noConversion"/>
  </si>
  <si>
    <t>A00085983</t>
    <phoneticPr fontId="1" type="noConversion"/>
  </si>
  <si>
    <t>A柱加强板总成-左</t>
    <phoneticPr fontId="1" type="noConversion"/>
  </si>
  <si>
    <t>B119</t>
    <phoneticPr fontId="1" type="noConversion"/>
  </si>
  <si>
    <t>PTI-ZMF75-C28-3112</t>
    <phoneticPr fontId="1" type="noConversion"/>
  </si>
  <si>
    <t>A00084877</t>
    <phoneticPr fontId="1" type="noConversion"/>
  </si>
  <si>
    <t>A柱下部内隔音板-左</t>
    <phoneticPr fontId="1" type="noConversion"/>
  </si>
  <si>
    <t>A00084872</t>
    <phoneticPr fontId="1" type="noConversion"/>
  </si>
  <si>
    <t>B柱下部内隔音板-左</t>
    <phoneticPr fontId="1" type="noConversion"/>
  </si>
  <si>
    <t>A00085997</t>
    <phoneticPr fontId="1" type="noConversion"/>
  </si>
  <si>
    <t>门槛加强板总成-左</t>
    <phoneticPr fontId="1" type="noConversion"/>
  </si>
  <si>
    <t>A00085982</t>
    <phoneticPr fontId="1" type="noConversion"/>
  </si>
  <si>
    <t>侧围加强板总成-左</t>
    <phoneticPr fontId="1" type="noConversion"/>
  </si>
  <si>
    <t>B121</t>
    <phoneticPr fontId="1" type="noConversion"/>
  </si>
  <si>
    <t>PTX-C2112</t>
    <phoneticPr fontId="1" type="noConversion"/>
  </si>
  <si>
    <t>A00086005</t>
    <phoneticPr fontId="1" type="noConversion"/>
  </si>
  <si>
    <t>侧围内板前段总成-左</t>
    <phoneticPr fontId="1" type="noConversion"/>
  </si>
  <si>
    <t>B122</t>
    <phoneticPr fontId="1" type="noConversion"/>
  </si>
  <si>
    <t>PTC-C117</t>
    <phoneticPr fontId="1" type="noConversion"/>
  </si>
  <si>
    <t>A00084880</t>
    <phoneticPr fontId="1" type="noConversion"/>
  </si>
  <si>
    <t>A柱上部外隔音板</t>
    <phoneticPr fontId="1" type="noConversion"/>
  </si>
  <si>
    <t>B114</t>
    <phoneticPr fontId="1" type="noConversion"/>
  </si>
  <si>
    <t>PTC-C1120</t>
    <phoneticPr fontId="1" type="noConversion"/>
  </si>
  <si>
    <t>A00084878</t>
    <phoneticPr fontId="1" type="noConversion"/>
  </si>
  <si>
    <t>A柱下部外隔音板</t>
    <phoneticPr fontId="1" type="noConversion"/>
  </si>
  <si>
    <t>A00084881</t>
    <phoneticPr fontId="1" type="noConversion"/>
  </si>
  <si>
    <t>B柱下部外隔音板</t>
    <phoneticPr fontId="1" type="noConversion"/>
  </si>
  <si>
    <t>A00085917</t>
    <phoneticPr fontId="1" type="noConversion"/>
  </si>
  <si>
    <t>C柱内板分总成-左</t>
    <phoneticPr fontId="1" type="noConversion"/>
  </si>
  <si>
    <t>A00091174</t>
    <phoneticPr fontId="1" type="noConversion"/>
  </si>
  <si>
    <t>后轮罩外板分总成-左</t>
    <phoneticPr fontId="1" type="noConversion"/>
  </si>
  <si>
    <t>A00085916</t>
    <phoneticPr fontId="1" type="noConversion"/>
  </si>
  <si>
    <t>后轮罩外板总成-左</t>
    <phoneticPr fontId="1" type="noConversion"/>
  </si>
  <si>
    <t>B104</t>
    <phoneticPr fontId="1" type="noConversion"/>
  </si>
  <si>
    <t>PTX-C0616</t>
    <phoneticPr fontId="1" type="noConversion"/>
  </si>
  <si>
    <t>A00086106</t>
    <phoneticPr fontId="1" type="noConversion"/>
  </si>
  <si>
    <t>后轮罩内板总成-左</t>
    <phoneticPr fontId="1" type="noConversion"/>
  </si>
  <si>
    <t>A00085960</t>
    <phoneticPr fontId="1" type="noConversion"/>
  </si>
  <si>
    <t>B105</t>
    <phoneticPr fontId="1" type="noConversion"/>
  </si>
  <si>
    <t>PTX-C1561</t>
    <phoneticPr fontId="1" type="noConversion"/>
  </si>
  <si>
    <t>A00085914</t>
    <phoneticPr fontId="1" type="noConversion"/>
  </si>
  <si>
    <t>D柱总成-左</t>
    <phoneticPr fontId="1" type="noConversion"/>
  </si>
  <si>
    <t>A00085980</t>
    <phoneticPr fontId="1" type="noConversion"/>
  </si>
  <si>
    <t>C柱加强板组件-左</t>
    <phoneticPr fontId="1" type="noConversion"/>
  </si>
  <si>
    <t>B110</t>
    <phoneticPr fontId="1" type="noConversion"/>
  </si>
  <si>
    <t>PTX-C1514</t>
    <phoneticPr fontId="1" type="noConversion"/>
  </si>
  <si>
    <t>A00091171</t>
    <phoneticPr fontId="1" type="noConversion"/>
  </si>
  <si>
    <t>C柱加强板分总成-左</t>
    <phoneticPr fontId="1" type="noConversion"/>
  </si>
  <si>
    <t>A00089504</t>
    <phoneticPr fontId="1" type="noConversion"/>
  </si>
  <si>
    <t>C柱下部隔音板-左</t>
    <phoneticPr fontId="1" type="noConversion"/>
  </si>
  <si>
    <t>A00085964</t>
    <phoneticPr fontId="1" type="noConversion"/>
  </si>
  <si>
    <t>D柱分总成-左</t>
    <phoneticPr fontId="1" type="noConversion"/>
  </si>
  <si>
    <t>B106</t>
    <phoneticPr fontId="1" type="noConversion"/>
  </si>
  <si>
    <t>PTC-C1116</t>
    <phoneticPr fontId="1" type="noConversion"/>
  </si>
  <si>
    <t>C柱内板总成-左</t>
    <phoneticPr fontId="1" type="noConversion"/>
  </si>
  <si>
    <t>B107</t>
    <phoneticPr fontId="1" type="noConversion"/>
  </si>
  <si>
    <t>PTI-ZMF75-C35-4130</t>
    <phoneticPr fontId="1" type="noConversion"/>
  </si>
  <si>
    <t>A00087596</t>
    <phoneticPr fontId="1" type="noConversion"/>
  </si>
  <si>
    <t>后侧围内板总成合件</t>
    <phoneticPr fontId="1" type="noConversion"/>
  </si>
  <si>
    <t>B108</t>
    <phoneticPr fontId="1" type="noConversion"/>
  </si>
  <si>
    <t>PTX-C1548</t>
    <phoneticPr fontId="1" type="noConversion"/>
  </si>
  <si>
    <t>A00084876</t>
    <phoneticPr fontId="1" type="noConversion"/>
  </si>
  <si>
    <t>C柱中部内隔音板-左</t>
    <phoneticPr fontId="1" type="noConversion"/>
  </si>
  <si>
    <t>B101</t>
    <phoneticPr fontId="1" type="noConversion"/>
  </si>
  <si>
    <t>PTC-C1119</t>
    <phoneticPr fontId="1" type="noConversion"/>
  </si>
  <si>
    <t>A00085961</t>
    <phoneticPr fontId="1" type="noConversion"/>
  </si>
  <si>
    <t>C柱加强板总成-左</t>
    <phoneticPr fontId="1" type="noConversion"/>
  </si>
  <si>
    <t>后侧围内板总成-左</t>
    <phoneticPr fontId="1" type="noConversion"/>
  </si>
  <si>
    <t>B109</t>
    <phoneticPr fontId="1" type="noConversion"/>
  </si>
  <si>
    <t>PTC-C0616</t>
    <phoneticPr fontId="1" type="noConversion"/>
  </si>
  <si>
    <t>A00086595</t>
    <phoneticPr fontId="1" type="noConversion"/>
  </si>
  <si>
    <t>C柱中部隔音板</t>
    <phoneticPr fontId="1" type="noConversion"/>
  </si>
  <si>
    <t>A00086594</t>
    <phoneticPr fontId="1" type="noConversion"/>
  </si>
  <si>
    <t>C柱下部隔音板</t>
    <phoneticPr fontId="1" type="noConversion"/>
  </si>
  <si>
    <t>A00092373</t>
    <phoneticPr fontId="1" type="noConversion"/>
  </si>
  <si>
    <t>后围外板连接板-左</t>
    <phoneticPr fontId="1" type="noConversion"/>
  </si>
  <si>
    <t>B115</t>
    <phoneticPr fontId="1" type="noConversion"/>
  </si>
  <si>
    <t>PTC-C1111</t>
    <phoneticPr fontId="1" type="noConversion"/>
  </si>
  <si>
    <t>A00086442</t>
    <phoneticPr fontId="1" type="noConversion"/>
  </si>
  <si>
    <t>尾灯安装板总成-左</t>
    <phoneticPr fontId="1" type="noConversion"/>
  </si>
  <si>
    <t>B116</t>
    <phoneticPr fontId="1" type="noConversion"/>
  </si>
  <si>
    <t>PTI-ZMF75-X30-3609</t>
    <phoneticPr fontId="1" type="noConversion"/>
  </si>
  <si>
    <t>A00086440</t>
    <phoneticPr fontId="1" type="noConversion"/>
  </si>
  <si>
    <t>侧围流水槽总成-左</t>
    <phoneticPr fontId="1" type="noConversion"/>
  </si>
  <si>
    <t>A柱上部内隔音板-右</t>
    <phoneticPr fontId="1" type="noConversion"/>
  </si>
  <si>
    <t>B125</t>
    <phoneticPr fontId="1" type="noConversion"/>
  </si>
  <si>
    <t>PTX-C1523</t>
    <phoneticPr fontId="1" type="noConversion"/>
  </si>
  <si>
    <t>A柱上内板总成-右</t>
    <phoneticPr fontId="1" type="noConversion"/>
  </si>
  <si>
    <t>侧围上边梁内板总成-右</t>
    <phoneticPr fontId="1" type="noConversion"/>
  </si>
  <si>
    <t>B柱内板总成-右</t>
    <phoneticPr fontId="1" type="noConversion"/>
  </si>
  <si>
    <t>A00086028</t>
    <phoneticPr fontId="1" type="noConversion"/>
  </si>
  <si>
    <t>B柱加强板总成-右</t>
    <phoneticPr fontId="1" type="noConversion"/>
  </si>
  <si>
    <t>B126</t>
    <phoneticPr fontId="1" type="noConversion"/>
  </si>
  <si>
    <t>A00086037</t>
    <phoneticPr fontId="1" type="noConversion"/>
  </si>
  <si>
    <t>上边梁加强板-右</t>
    <phoneticPr fontId="1" type="noConversion"/>
  </si>
  <si>
    <t>B127</t>
    <phoneticPr fontId="1" type="noConversion"/>
  </si>
  <si>
    <t>A00086038</t>
    <phoneticPr fontId="1" type="noConversion"/>
  </si>
  <si>
    <t>A柱上加强板-右</t>
    <phoneticPr fontId="1" type="noConversion"/>
  </si>
  <si>
    <t>B132</t>
    <phoneticPr fontId="1" type="noConversion"/>
  </si>
  <si>
    <t>PTX-ZMF75-C30-2820</t>
    <phoneticPr fontId="1" type="noConversion"/>
  </si>
  <si>
    <t>A00086020</t>
    <phoneticPr fontId="1" type="noConversion"/>
  </si>
  <si>
    <t>A柱加强板总成-右</t>
    <phoneticPr fontId="1" type="noConversion"/>
  </si>
  <si>
    <t>B133</t>
    <phoneticPr fontId="1" type="noConversion"/>
  </si>
  <si>
    <t>PTX-C1519</t>
    <phoneticPr fontId="1" type="noConversion"/>
  </si>
  <si>
    <t>A00086019</t>
    <phoneticPr fontId="1" type="noConversion"/>
  </si>
  <si>
    <t>侧围加强板总成-右</t>
    <phoneticPr fontId="1" type="noConversion"/>
  </si>
  <si>
    <t>B129</t>
    <phoneticPr fontId="1" type="noConversion"/>
  </si>
  <si>
    <t>A00086039</t>
    <phoneticPr fontId="1" type="noConversion"/>
  </si>
  <si>
    <t>侧围内板前段总成-右</t>
    <phoneticPr fontId="1" type="noConversion"/>
  </si>
  <si>
    <t>B130</t>
    <phoneticPr fontId="1" type="noConversion"/>
  </si>
  <si>
    <t>PTC-C1117</t>
    <phoneticPr fontId="1" type="noConversion"/>
  </si>
  <si>
    <t>B134</t>
    <phoneticPr fontId="1" type="noConversion"/>
  </si>
  <si>
    <t>B135</t>
    <phoneticPr fontId="1" type="noConversion"/>
  </si>
  <si>
    <t>A00085927</t>
    <phoneticPr fontId="1" type="noConversion"/>
  </si>
  <si>
    <t>C柱内板分总成-右</t>
    <phoneticPr fontId="1" type="noConversion"/>
  </si>
  <si>
    <t>B136</t>
    <phoneticPr fontId="1" type="noConversion"/>
  </si>
  <si>
    <t>A00091173</t>
    <phoneticPr fontId="1" type="noConversion"/>
  </si>
  <si>
    <t>后轮罩外板分总成-右</t>
    <phoneticPr fontId="1" type="noConversion"/>
  </si>
  <si>
    <t>后轮罩外板总成-右</t>
    <phoneticPr fontId="1" type="noConversion"/>
  </si>
  <si>
    <t>B137</t>
    <phoneticPr fontId="1" type="noConversion"/>
  </si>
  <si>
    <t>PTX-C0816</t>
    <phoneticPr fontId="1" type="noConversion"/>
  </si>
  <si>
    <t>后轮罩内板总成-右</t>
    <phoneticPr fontId="1" type="noConversion"/>
  </si>
  <si>
    <t>A00087595</t>
    <phoneticPr fontId="1" type="noConversion"/>
  </si>
  <si>
    <t>B138</t>
    <phoneticPr fontId="1" type="noConversion"/>
  </si>
  <si>
    <t>A00085923</t>
    <phoneticPr fontId="1" type="noConversion"/>
  </si>
  <si>
    <t>D柱总成-右</t>
    <phoneticPr fontId="1" type="noConversion"/>
  </si>
  <si>
    <t>A00085978</t>
    <phoneticPr fontId="1" type="noConversion"/>
  </si>
  <si>
    <t>C柱加强板分总成-右</t>
    <phoneticPr fontId="1" type="noConversion"/>
  </si>
  <si>
    <t>B131</t>
    <phoneticPr fontId="1" type="noConversion"/>
  </si>
  <si>
    <t>A00091172</t>
    <phoneticPr fontId="1" type="noConversion"/>
  </si>
  <si>
    <t>C柱加强板组件-右</t>
    <phoneticPr fontId="1" type="noConversion"/>
  </si>
  <si>
    <t>A00086600</t>
    <phoneticPr fontId="1" type="noConversion"/>
  </si>
  <si>
    <t>C柱下部隔音板-右</t>
    <phoneticPr fontId="1" type="noConversion"/>
  </si>
  <si>
    <t>A00085979</t>
    <phoneticPr fontId="1" type="noConversion"/>
  </si>
  <si>
    <t>C柱内板总成-右</t>
    <phoneticPr fontId="1" type="noConversion"/>
  </si>
  <si>
    <t>B139</t>
    <phoneticPr fontId="1" type="noConversion"/>
  </si>
  <si>
    <t>PTC-C1110</t>
    <phoneticPr fontId="1" type="noConversion"/>
  </si>
  <si>
    <t>A00087585</t>
    <phoneticPr fontId="1" type="noConversion"/>
  </si>
  <si>
    <t>D柱分总成-右</t>
    <phoneticPr fontId="1" type="noConversion"/>
  </si>
  <si>
    <t>B140</t>
    <phoneticPr fontId="1" type="noConversion"/>
  </si>
  <si>
    <t>A00085940</t>
    <phoneticPr fontId="1" type="noConversion"/>
  </si>
  <si>
    <t>B141</t>
    <phoneticPr fontId="1" type="noConversion"/>
  </si>
  <si>
    <t>PTX-C4548</t>
    <phoneticPr fontId="1" type="noConversion"/>
  </si>
  <si>
    <t>A00084875</t>
    <phoneticPr fontId="1" type="noConversion"/>
  </si>
  <si>
    <t>C柱中部内隔音板-右</t>
    <phoneticPr fontId="1" type="noConversion"/>
  </si>
  <si>
    <t>B143</t>
    <phoneticPr fontId="1" type="noConversion"/>
  </si>
  <si>
    <t>A00085975</t>
    <phoneticPr fontId="1" type="noConversion"/>
  </si>
  <si>
    <t>C柱加强板总成-右</t>
    <phoneticPr fontId="1" type="noConversion"/>
  </si>
  <si>
    <t>后侧围内板总成-右</t>
    <phoneticPr fontId="1" type="noConversion"/>
  </si>
  <si>
    <t>B142</t>
    <phoneticPr fontId="1" type="noConversion"/>
  </si>
  <si>
    <t>B144</t>
    <phoneticPr fontId="1" type="noConversion"/>
  </si>
  <si>
    <t>待改造,未使用</t>
    <phoneticPr fontId="1" type="noConversion"/>
  </si>
  <si>
    <t>A00092374</t>
    <phoneticPr fontId="1" type="noConversion"/>
  </si>
  <si>
    <t>后围外板连接板-右</t>
    <phoneticPr fontId="1" type="noConversion"/>
  </si>
  <si>
    <t>B123</t>
    <phoneticPr fontId="1" type="noConversion"/>
  </si>
  <si>
    <t>PTC-C1111</t>
    <phoneticPr fontId="1" type="noConversion"/>
  </si>
  <si>
    <t>6±1mm</t>
    <phoneticPr fontId="1" type="noConversion"/>
  </si>
  <si>
    <t>A00086456</t>
    <phoneticPr fontId="1" type="noConversion"/>
  </si>
  <si>
    <t>尾灯安装板总成-右</t>
    <phoneticPr fontId="1" type="noConversion"/>
  </si>
  <si>
    <t>B124</t>
    <phoneticPr fontId="1" type="noConversion"/>
  </si>
  <si>
    <t>PTI-ZMF75-X30-3609</t>
    <phoneticPr fontId="1" type="noConversion"/>
  </si>
  <si>
    <t>A00086454</t>
    <phoneticPr fontId="1" type="noConversion"/>
  </si>
  <si>
    <t>侧围流水槽总成-右</t>
    <phoneticPr fontId="1" type="noConversion"/>
  </si>
  <si>
    <t>A00086435</t>
    <phoneticPr fontId="1" type="noConversion"/>
  </si>
  <si>
    <t>侧围外板总成-左</t>
    <phoneticPr fontId="1" type="noConversion"/>
  </si>
  <si>
    <t>《设备点检表》</t>
    <phoneticPr fontId="1" type="noConversion"/>
  </si>
  <si>
    <t>BSL040-R03</t>
    <phoneticPr fontId="1" type="noConversion"/>
  </si>
  <si>
    <t>SRTX-2C5688-LX6</t>
    <phoneticPr fontId="1" type="noConversion"/>
  </si>
  <si>
    <t>--</t>
    <phoneticPr fontId="1" type="noConversion"/>
  </si>
  <si>
    <t>BSL040-R04</t>
  </si>
  <si>
    <t>BSL040-R05</t>
  </si>
  <si>
    <t>SRTX-2C7647-LX5</t>
    <phoneticPr fontId="1" type="noConversion"/>
  </si>
  <si>
    <t>A00087596</t>
    <phoneticPr fontId="1" type="noConversion"/>
  </si>
  <si>
    <t>侧围内板后部总成-左</t>
    <phoneticPr fontId="1" type="noConversion"/>
  </si>
  <si>
    <t>BSL040-R07</t>
  </si>
  <si>
    <t>SRTC-2C5779-LX6</t>
    <phoneticPr fontId="1" type="noConversion"/>
  </si>
  <si>
    <t>A00085981</t>
    <phoneticPr fontId="1" type="noConversion"/>
  </si>
  <si>
    <t>侧围内板前部总成-左</t>
    <phoneticPr fontId="1" type="noConversion"/>
  </si>
  <si>
    <t>BSL040-R08</t>
  </si>
  <si>
    <t>SRTC-2C0531-LX2</t>
    <phoneticPr fontId="1" type="noConversion"/>
  </si>
  <si>
    <t>A00086434</t>
    <phoneticPr fontId="1" type="noConversion"/>
  </si>
  <si>
    <t>侧围总成-左</t>
    <phoneticPr fontId="1" type="noConversion"/>
  </si>
  <si>
    <t>BSL040-R09</t>
  </si>
  <si>
    <t>SRTX-2C5689-LX4</t>
    <phoneticPr fontId="1" type="noConversion"/>
  </si>
  <si>
    <t>BSL040-R10</t>
  </si>
  <si>
    <t>SRTC-2C4581-LX4</t>
    <phoneticPr fontId="1" type="noConversion"/>
  </si>
  <si>
    <t>BSL040-R11</t>
  </si>
  <si>
    <t>SRTX-2C5690-LX2</t>
    <phoneticPr fontId="1" type="noConversion"/>
  </si>
  <si>
    <t>BSL040-R12</t>
  </si>
  <si>
    <t>SRTC-2C4582-LX3</t>
    <phoneticPr fontId="1" type="noConversion"/>
  </si>
  <si>
    <t>BSL040-R13</t>
  </si>
  <si>
    <t>SRTC-2C4583-LX2</t>
    <phoneticPr fontId="1" type="noConversion"/>
  </si>
  <si>
    <t>A00086451</t>
    <phoneticPr fontId="1" type="noConversion"/>
  </si>
  <si>
    <t>侧围外板总成-右</t>
    <phoneticPr fontId="1" type="noConversion"/>
  </si>
  <si>
    <t>BSR040-R03</t>
    <phoneticPr fontId="1" type="noConversion"/>
  </si>
  <si>
    <t>SRTX-2C5688-RX6</t>
    <phoneticPr fontId="1" type="noConversion"/>
  </si>
  <si>
    <t>BSR040-R04</t>
  </si>
  <si>
    <t>BSR040-R05</t>
  </si>
  <si>
    <t>SRTX-2C7647-RX5</t>
    <phoneticPr fontId="1" type="noConversion"/>
  </si>
  <si>
    <t>侧围内板后部总成-右</t>
    <phoneticPr fontId="1" type="noConversion"/>
  </si>
  <si>
    <t>BSR040-R07</t>
  </si>
  <si>
    <t>侧围内板前部总成-右</t>
    <phoneticPr fontId="1" type="noConversion"/>
  </si>
  <si>
    <t>BSR040-R08</t>
  </si>
  <si>
    <t>SRTC-2C5779-RX6</t>
    <phoneticPr fontId="1" type="noConversion"/>
  </si>
  <si>
    <t>A00086450</t>
    <phoneticPr fontId="1" type="noConversion"/>
  </si>
  <si>
    <t>侧围总成-右</t>
    <phoneticPr fontId="1" type="noConversion"/>
  </si>
  <si>
    <t>BSR040-R09</t>
  </si>
  <si>
    <t>SRTX-2C5689-RX4</t>
    <phoneticPr fontId="1" type="noConversion"/>
  </si>
  <si>
    <t>BSR040-R10</t>
  </si>
  <si>
    <t>SRTC-2C4581-RX4</t>
    <phoneticPr fontId="1" type="noConversion"/>
  </si>
  <si>
    <t>BSR040-R11</t>
  </si>
  <si>
    <t>SRTX-C5690-RX2</t>
    <phoneticPr fontId="1" type="noConversion"/>
  </si>
  <si>
    <t>BSR040-R12</t>
  </si>
  <si>
    <t>SRTC-2C4582-RX3</t>
    <phoneticPr fontId="1" type="noConversion"/>
  </si>
  <si>
    <t>BSR040-R13</t>
  </si>
  <si>
    <t>SRTC-2C4583-RX2</t>
    <phoneticPr fontId="1" type="noConversion"/>
  </si>
  <si>
    <t>A00086065/6</t>
    <phoneticPr fontId="1" type="noConversion"/>
  </si>
  <si>
    <t>下车体总成（MT）/（7DCT）</t>
    <phoneticPr fontId="1" type="noConversion"/>
  </si>
  <si>
    <t>B146</t>
    <phoneticPr fontId="1" type="noConversion"/>
  </si>
  <si>
    <t>A-PTX-C3387L</t>
    <phoneticPr fontId="1" type="noConversion"/>
  </si>
  <si>
    <t>A00087130</t>
    <phoneticPr fontId="1" type="noConversion"/>
  </si>
  <si>
    <t>前纵梁前梁连接板组件-左</t>
    <phoneticPr fontId="1" type="noConversion"/>
  </si>
  <si>
    <t>B145</t>
    <phoneticPr fontId="1" type="noConversion"/>
  </si>
  <si>
    <t>PTC-C2554L</t>
    <phoneticPr fontId="1" type="noConversion"/>
  </si>
  <si>
    <t>A00090172</t>
    <phoneticPr fontId="1" type="noConversion"/>
  </si>
  <si>
    <t>前纵梁前梁连接板组件-右</t>
    <phoneticPr fontId="1" type="noConversion"/>
  </si>
  <si>
    <t>B148</t>
    <phoneticPr fontId="1" type="noConversion"/>
  </si>
  <si>
    <t xml:space="preserve">A-PTX-C3387R </t>
    <phoneticPr fontId="1" type="noConversion"/>
  </si>
  <si>
    <t>A00090494</t>
    <phoneticPr fontId="1" type="noConversion"/>
  </si>
  <si>
    <t>前防撞梁安装板总成-左</t>
    <phoneticPr fontId="1" type="noConversion"/>
  </si>
  <si>
    <t>B147</t>
    <phoneticPr fontId="1" type="noConversion"/>
  </si>
  <si>
    <t>PTC-C2554R</t>
    <phoneticPr fontId="1" type="noConversion"/>
  </si>
  <si>
    <t>A00090493</t>
    <phoneticPr fontId="1" type="noConversion"/>
  </si>
  <si>
    <t>前防撞梁安装板总成-右</t>
    <phoneticPr fontId="1" type="noConversion"/>
  </si>
  <si>
    <t>A00087885</t>
    <phoneticPr fontId="1" type="noConversion"/>
  </si>
  <si>
    <t>前翼子板支架组件-左</t>
    <phoneticPr fontId="1" type="noConversion"/>
  </si>
  <si>
    <t>A00087886</t>
    <phoneticPr fontId="1" type="noConversion"/>
  </si>
  <si>
    <t>前翼子板支架组件-右</t>
    <phoneticPr fontId="1" type="noConversion"/>
  </si>
  <si>
    <t>A00090496</t>
    <phoneticPr fontId="1" type="noConversion"/>
  </si>
  <si>
    <t>白车身骨架分总成1-7DCT</t>
    <phoneticPr fontId="1" type="noConversion"/>
  </si>
  <si>
    <t>1411A</t>
    <phoneticPr fontId="1" type="noConversion"/>
  </si>
  <si>
    <t>SRTC-C1123A-LX4</t>
    <phoneticPr fontId="1" type="noConversion"/>
  </si>
  <si>
    <t>A00085934</t>
    <phoneticPr fontId="1" type="noConversion"/>
  </si>
  <si>
    <t>白车身骨架分总成1-6MT</t>
    <phoneticPr fontId="1" type="noConversion"/>
  </si>
  <si>
    <t>1411B</t>
    <phoneticPr fontId="1" type="noConversion"/>
  </si>
  <si>
    <t>SRTC-C1123A-RX4</t>
    <phoneticPr fontId="1" type="noConversion"/>
  </si>
  <si>
    <t>1412A</t>
    <phoneticPr fontId="1" type="noConversion"/>
  </si>
  <si>
    <t>SRTC-C1118-LX4(L)</t>
    <phoneticPr fontId="1" type="noConversion"/>
  </si>
  <si>
    <t>1412B</t>
    <phoneticPr fontId="1" type="noConversion"/>
  </si>
  <si>
    <t>SRTC-C1118-LX4-Mir</t>
    <phoneticPr fontId="1" type="noConversion"/>
  </si>
  <si>
    <t>1413A</t>
    <phoneticPr fontId="1" type="noConversion"/>
  </si>
  <si>
    <t>1413B</t>
    <phoneticPr fontId="1" type="noConversion"/>
  </si>
  <si>
    <t>SRTC-C1119B-LX3</t>
    <phoneticPr fontId="1" type="noConversion"/>
  </si>
  <si>
    <t>SRTX-C1001-LX7(L)</t>
    <phoneticPr fontId="1" type="noConversion"/>
  </si>
  <si>
    <t>SRTC-2C5768-LX2</t>
    <phoneticPr fontId="1" type="noConversion"/>
  </si>
  <si>
    <t>SRTC-2C5768-RX2</t>
    <phoneticPr fontId="1" type="noConversion"/>
  </si>
  <si>
    <t>1601A</t>
    <phoneticPr fontId="1" type="noConversion"/>
  </si>
  <si>
    <t>SRTC-2C5759-LX3</t>
    <phoneticPr fontId="1" type="noConversion"/>
  </si>
  <si>
    <t>1601B</t>
    <phoneticPr fontId="1" type="noConversion"/>
  </si>
  <si>
    <t>SRTC-2C5759-RX3</t>
    <phoneticPr fontId="1" type="noConversion"/>
  </si>
  <si>
    <t>1602A</t>
    <phoneticPr fontId="1" type="noConversion"/>
  </si>
  <si>
    <t>95.029.064</t>
    <phoneticPr fontId="1" type="noConversion"/>
  </si>
  <si>
    <t>1602B</t>
    <phoneticPr fontId="1" type="noConversion"/>
  </si>
  <si>
    <t>1801A</t>
    <phoneticPr fontId="1" type="noConversion"/>
  </si>
  <si>
    <t>SRTX-C1002-A-LX4(L)</t>
    <phoneticPr fontId="1" type="noConversion"/>
  </si>
  <si>
    <t>1801B</t>
    <phoneticPr fontId="1" type="noConversion"/>
  </si>
  <si>
    <t>SRTC-2C1655A-LX2</t>
    <phoneticPr fontId="1" type="noConversion"/>
  </si>
  <si>
    <t>1802A</t>
    <phoneticPr fontId="1" type="noConversion"/>
  </si>
  <si>
    <t>SRTC-C1120-LX3(L)</t>
    <phoneticPr fontId="1" type="noConversion"/>
  </si>
  <si>
    <t>1802B</t>
    <phoneticPr fontId="1" type="noConversion"/>
  </si>
  <si>
    <t>SRTC-C1120-LX3®</t>
    <phoneticPr fontId="1" type="noConversion"/>
  </si>
  <si>
    <t>A00090496</t>
    <phoneticPr fontId="1" type="noConversion"/>
  </si>
  <si>
    <t>白车身骨架分总成1-7DCT</t>
    <phoneticPr fontId="1" type="noConversion"/>
  </si>
  <si>
    <t>《设备点检表》</t>
    <phoneticPr fontId="1" type="noConversion"/>
  </si>
  <si>
    <t>1901A</t>
    <phoneticPr fontId="1" type="noConversion"/>
  </si>
  <si>
    <t>SRTC-C1121-LX2</t>
    <phoneticPr fontId="1" type="noConversion"/>
  </si>
  <si>
    <t>6±1mm</t>
    <phoneticPr fontId="1" type="noConversion"/>
  </si>
  <si>
    <t>A00085934</t>
    <phoneticPr fontId="1" type="noConversion"/>
  </si>
  <si>
    <t>白车身骨架分总成1-6MT</t>
    <phoneticPr fontId="1" type="noConversion"/>
  </si>
  <si>
    <t>1901B</t>
    <phoneticPr fontId="1" type="noConversion"/>
  </si>
  <si>
    <t>SRTC-C1121-RX2</t>
    <phoneticPr fontId="1" type="noConversion"/>
  </si>
  <si>
    <t>1902A</t>
    <phoneticPr fontId="1" type="noConversion"/>
  </si>
  <si>
    <t>SRTC-C1122-LX2</t>
    <phoneticPr fontId="1" type="noConversion"/>
  </si>
  <si>
    <t>1902B</t>
    <phoneticPr fontId="1" type="noConversion"/>
  </si>
  <si>
    <t>SRTC-C1122-RX2</t>
    <phoneticPr fontId="1" type="noConversion"/>
  </si>
  <si>
    <t>1903A</t>
    <phoneticPr fontId="1" type="noConversion"/>
  </si>
  <si>
    <t>SRTC-C1112-LX1</t>
    <phoneticPr fontId="1" type="noConversion"/>
  </si>
  <si>
    <t>1903B</t>
    <phoneticPr fontId="1" type="noConversion"/>
  </si>
  <si>
    <t>A00090497</t>
    <phoneticPr fontId="1" type="noConversion"/>
  </si>
  <si>
    <t>白车身骨架分总成2-7DCT</t>
    <phoneticPr fontId="1" type="noConversion"/>
  </si>
  <si>
    <t>SRTC-C1113-LX5(L)</t>
    <phoneticPr fontId="1" type="noConversion"/>
  </si>
  <si>
    <t>A00087913</t>
    <phoneticPr fontId="1" type="noConversion"/>
  </si>
  <si>
    <t>白车身骨架分总成2-6MT</t>
    <phoneticPr fontId="1" type="noConversion"/>
  </si>
  <si>
    <t>2201B</t>
    <phoneticPr fontId="1" type="noConversion"/>
  </si>
  <si>
    <t>SRTC-C1124A-L</t>
    <phoneticPr fontId="1" type="noConversion"/>
  </si>
  <si>
    <t>2202A</t>
    <phoneticPr fontId="1" type="noConversion"/>
  </si>
  <si>
    <t>SRTC-C1112B-LX2(L)</t>
    <phoneticPr fontId="1" type="noConversion"/>
  </si>
  <si>
    <t>2202B</t>
    <phoneticPr fontId="1" type="noConversion"/>
  </si>
  <si>
    <t>SRTC-C1110-lX2®</t>
    <phoneticPr fontId="1" type="noConversion"/>
  </si>
  <si>
    <t>2501A</t>
    <phoneticPr fontId="1" type="noConversion"/>
  </si>
  <si>
    <t>SRTC-2C4718A-LX3(L)</t>
    <phoneticPr fontId="1" type="noConversion"/>
  </si>
  <si>
    <t>2501B</t>
    <phoneticPr fontId="1" type="noConversion"/>
  </si>
  <si>
    <t>SRTC-2C4718A-LX3®</t>
    <phoneticPr fontId="1" type="noConversion"/>
  </si>
  <si>
    <t>2502A</t>
    <phoneticPr fontId="1" type="noConversion"/>
  </si>
  <si>
    <t>SRTC-C1114B-LX5</t>
    <phoneticPr fontId="1" type="noConversion"/>
  </si>
  <si>
    <t>2502B</t>
    <phoneticPr fontId="1" type="noConversion"/>
  </si>
  <si>
    <t>SRTC-C1114B-RX5</t>
    <phoneticPr fontId="1" type="noConversion"/>
  </si>
  <si>
    <t>A00090497</t>
    <phoneticPr fontId="1" type="noConversion"/>
  </si>
  <si>
    <t>白车身骨架分总成2-7DCT</t>
    <phoneticPr fontId="1" type="noConversion"/>
  </si>
  <si>
    <t>2601A</t>
    <phoneticPr fontId="1" type="noConversion"/>
  </si>
  <si>
    <t>SRTC-C1127B-LX2(L)</t>
    <phoneticPr fontId="1" type="noConversion"/>
  </si>
  <si>
    <t>A00087913</t>
    <phoneticPr fontId="1" type="noConversion"/>
  </si>
  <si>
    <t>白车身骨架分总成2-6MT</t>
    <phoneticPr fontId="1" type="noConversion"/>
  </si>
  <si>
    <t>2601B</t>
    <phoneticPr fontId="1" type="noConversion"/>
  </si>
  <si>
    <t>SRTC-C1113-LX5®</t>
    <phoneticPr fontId="1" type="noConversion"/>
  </si>
  <si>
    <t>2602A</t>
    <phoneticPr fontId="1" type="noConversion"/>
  </si>
  <si>
    <t>SRTC-C1116A-LX1</t>
    <phoneticPr fontId="1" type="noConversion"/>
  </si>
  <si>
    <t>2602B</t>
    <phoneticPr fontId="1" type="noConversion"/>
  </si>
  <si>
    <t>SRTC-C1116A-RX1</t>
    <phoneticPr fontId="1" type="noConversion"/>
  </si>
  <si>
    <t>A00085115</t>
    <phoneticPr fontId="1" type="noConversion"/>
  </si>
  <si>
    <t>天窗加强板组件</t>
    <phoneticPr fontId="1" type="noConversion"/>
  </si>
  <si>
    <t>B29</t>
    <phoneticPr fontId="1" type="noConversion"/>
  </si>
  <si>
    <t>PTI-ZMF75-C35-2523</t>
    <phoneticPr fontId="1" type="noConversion"/>
  </si>
  <si>
    <t>A00085113</t>
    <phoneticPr fontId="1" type="noConversion"/>
  </si>
  <si>
    <t>顶盖外板（天窗版）</t>
    <phoneticPr fontId="1" type="noConversion"/>
  </si>
  <si>
    <t>B30</t>
    <phoneticPr fontId="1" type="noConversion"/>
  </si>
  <si>
    <t>A00085089</t>
    <phoneticPr fontId="1" type="noConversion"/>
  </si>
  <si>
    <t>顶盖中前横梁</t>
    <phoneticPr fontId="1" type="noConversion"/>
  </si>
  <si>
    <t>A00085091</t>
    <phoneticPr fontId="1" type="noConversion"/>
  </si>
  <si>
    <t>顶盖中横梁总成</t>
    <phoneticPr fontId="1" type="noConversion"/>
  </si>
  <si>
    <t>A00085090</t>
    <phoneticPr fontId="1" type="noConversion"/>
  </si>
  <si>
    <t>顶盖中后横梁</t>
    <phoneticPr fontId="1" type="noConversion"/>
  </si>
  <si>
    <t>A00085088</t>
    <phoneticPr fontId="1" type="noConversion"/>
  </si>
  <si>
    <t>顶盖外板</t>
    <phoneticPr fontId="1" type="noConversion"/>
  </si>
  <si>
    <t>《设备点检表》
《过程质量管理表》</t>
    <phoneticPr fontId="1" type="noConversion"/>
  </si>
  <si>
    <t>后门外板支撑板-左（低配）</t>
    <phoneticPr fontId="1" type="noConversion"/>
  </si>
  <si>
    <t>后门腰线外加强板-左（低配）</t>
    <phoneticPr fontId="1" type="noConversion"/>
  </si>
  <si>
    <t>后门防撞梁-左</t>
    <phoneticPr fontId="1" type="noConversion"/>
  </si>
  <si>
    <t>后门内板分总成-左</t>
    <phoneticPr fontId="1" type="noConversion"/>
  </si>
  <si>
    <t>后门腰线外加强板-左（高配）</t>
    <phoneticPr fontId="1" type="noConversion"/>
  </si>
  <si>
    <t>W1FF4-010</t>
    <phoneticPr fontId="1" type="noConversion"/>
  </si>
  <si>
    <t>W1FF4-050</t>
    <phoneticPr fontId="1" type="noConversion"/>
  </si>
  <si>
    <t>尼玛克</t>
  </si>
  <si>
    <t>顶盖外板（无天窗版）</t>
    <phoneticPr fontId="1" type="noConversion"/>
  </si>
  <si>
    <t>外后视镜安装板总成-左（低配）</t>
    <phoneticPr fontId="1" type="noConversion"/>
  </si>
  <si>
    <t>前门外板支撑板-左（低配）</t>
    <phoneticPr fontId="1" type="noConversion"/>
  </si>
  <si>
    <t>外后视镜安装板总成-左（高配）</t>
    <phoneticPr fontId="1" type="noConversion"/>
  </si>
  <si>
    <t>外后视镜安装板总成-右（低配）</t>
    <phoneticPr fontId="1" type="noConversion"/>
  </si>
  <si>
    <t>前门外板支撑板-右（低配）</t>
    <phoneticPr fontId="1" type="noConversion"/>
  </si>
  <si>
    <t>外后视镜安装板总成-右（高配）</t>
    <phoneticPr fontId="1" type="noConversion"/>
  </si>
  <si>
    <t>后门内板分总成-右(低配）</t>
    <phoneticPr fontId="1" type="noConversion"/>
  </si>
  <si>
    <t>后门外板支撑板-右(低配）</t>
    <phoneticPr fontId="1" type="noConversion"/>
  </si>
  <si>
    <t>后门腰线外加强板-右(低配）</t>
    <phoneticPr fontId="1" type="noConversion"/>
  </si>
  <si>
    <t>后门内板分总成-右（高配）</t>
    <phoneticPr fontId="1" type="noConversion"/>
  </si>
  <si>
    <t>后门腰线外加强板-右（高配）</t>
    <phoneticPr fontId="1" type="noConversion"/>
  </si>
  <si>
    <t>——</t>
    <phoneticPr fontId="1" type="noConversion"/>
  </si>
  <si>
    <t>PTC-C1126</t>
    <phoneticPr fontId="1" type="noConversion"/>
  </si>
  <si>
    <t>PTC-C1126</t>
    <phoneticPr fontId="1" type="noConversion"/>
  </si>
  <si>
    <t>2201A</t>
    <phoneticPr fontId="1" type="noConversion"/>
  </si>
  <si>
    <t>D27</t>
    <phoneticPr fontId="1" type="noConversion"/>
  </si>
  <si>
    <t>D28</t>
    <phoneticPr fontId="1" type="noConversion"/>
  </si>
  <si>
    <t>D126</t>
    <phoneticPr fontId="1" type="noConversion"/>
  </si>
  <si>
    <t>D140</t>
    <phoneticPr fontId="1" type="noConversion"/>
  </si>
  <si>
    <t>D157</t>
    <phoneticPr fontId="1" type="noConversion"/>
  </si>
  <si>
    <t>D156</t>
    <phoneticPr fontId="1" type="noConversion"/>
  </si>
  <si>
    <t>D151</t>
    <phoneticPr fontId="1" type="noConversion"/>
  </si>
  <si>
    <t>D152</t>
    <phoneticPr fontId="1" type="noConversion"/>
  </si>
  <si>
    <t>D153</t>
    <phoneticPr fontId="1" type="noConversion"/>
  </si>
  <si>
    <t>D154</t>
    <phoneticPr fontId="1" type="noConversion"/>
  </si>
  <si>
    <t>PTX-C1559</t>
    <phoneticPr fontId="1" type="noConversion"/>
  </si>
  <si>
    <t>PTX-N0050</t>
    <phoneticPr fontId="1" type="noConversion"/>
  </si>
  <si>
    <t>D154</t>
    <phoneticPr fontId="1" type="noConversion"/>
  </si>
  <si>
    <t>D158</t>
    <phoneticPr fontId="1" type="noConversion"/>
  </si>
  <si>
    <t>D101</t>
    <phoneticPr fontId="1" type="noConversion"/>
  </si>
  <si>
    <t>D102</t>
    <phoneticPr fontId="1" type="noConversion"/>
  </si>
  <si>
    <t>D103</t>
    <phoneticPr fontId="1" type="noConversion"/>
  </si>
  <si>
    <t>D104</t>
    <phoneticPr fontId="1" type="noConversion"/>
  </si>
  <si>
    <t>D105</t>
    <phoneticPr fontId="1" type="noConversion"/>
  </si>
  <si>
    <t>D106</t>
    <phoneticPr fontId="1" type="noConversion"/>
  </si>
  <si>
    <t>D105</t>
    <phoneticPr fontId="1" type="noConversion"/>
  </si>
  <si>
    <t>D106</t>
    <phoneticPr fontId="1" type="noConversion"/>
  </si>
  <si>
    <t>D117</t>
    <phoneticPr fontId="1" type="noConversion"/>
  </si>
  <si>
    <t>D118</t>
    <phoneticPr fontId="1" type="noConversion"/>
  </si>
  <si>
    <t>D115</t>
    <phoneticPr fontId="1" type="noConversion"/>
  </si>
  <si>
    <t>D116</t>
    <phoneticPr fontId="1" type="noConversion"/>
  </si>
  <si>
    <t>D110</t>
    <phoneticPr fontId="1" type="noConversion"/>
  </si>
  <si>
    <t>D111</t>
    <phoneticPr fontId="1" type="noConversion"/>
  </si>
  <si>
    <t>D113</t>
    <phoneticPr fontId="1" type="noConversion"/>
  </si>
  <si>
    <t>D110</t>
    <phoneticPr fontId="1" type="noConversion"/>
  </si>
  <si>
    <t>D111</t>
    <phoneticPr fontId="1" type="noConversion"/>
  </si>
  <si>
    <t>D126</t>
    <phoneticPr fontId="1" type="noConversion"/>
  </si>
  <si>
    <t>D121</t>
    <phoneticPr fontId="1" type="noConversion"/>
  </si>
  <si>
    <t>D122</t>
    <phoneticPr fontId="1" type="noConversion"/>
  </si>
  <si>
    <t>D125</t>
    <phoneticPr fontId="1" type="noConversion"/>
  </si>
  <si>
    <t>D123</t>
    <phoneticPr fontId="1" type="noConversion"/>
  </si>
  <si>
    <t>D124</t>
    <phoneticPr fontId="1" type="noConversion"/>
  </si>
  <si>
    <t>D135</t>
    <phoneticPr fontId="1" type="noConversion"/>
  </si>
  <si>
    <t>D129</t>
    <phoneticPr fontId="1" type="noConversion"/>
  </si>
  <si>
    <t>D128</t>
    <phoneticPr fontId="1" type="noConversion"/>
  </si>
  <si>
    <t>D137</t>
    <phoneticPr fontId="1" type="noConversion"/>
  </si>
  <si>
    <t>D130</t>
    <phoneticPr fontId="1" type="noConversion"/>
  </si>
  <si>
    <t>D134</t>
    <phoneticPr fontId="1" type="noConversion"/>
  </si>
  <si>
    <t>D133</t>
    <phoneticPr fontId="1" type="noConversion"/>
  </si>
  <si>
    <t>D131</t>
    <phoneticPr fontId="1" type="noConversion"/>
  </si>
  <si>
    <t>D133</t>
    <phoneticPr fontId="1" type="noConversion"/>
  </si>
  <si>
    <t>D131</t>
    <phoneticPr fontId="1" type="noConversion"/>
  </si>
  <si>
    <t>——</t>
    <phoneticPr fontId="1" type="noConversion"/>
  </si>
  <si>
    <t>13mm</t>
    <phoneticPr fontId="1" type="noConversion"/>
  </si>
  <si>
    <t>station</t>
    <phoneticPr fontId="1" type="noConversion"/>
  </si>
  <si>
    <t>零件名称</t>
  </si>
  <si>
    <t>零件数量</t>
  </si>
  <si>
    <t>焊点数量</t>
  </si>
  <si>
    <t>工艺文件及检查记录</t>
  </si>
  <si>
    <t>焊钳/机器人编号</t>
  </si>
  <si>
    <t>焊钳设备型号</t>
  </si>
  <si>
    <t>焊钳设备厂家</t>
  </si>
  <si>
    <t>焊机设备厂家</t>
  </si>
  <si>
    <t>电极帽直径</t>
  </si>
  <si>
    <t>电极端面直径</t>
  </si>
  <si>
    <t>工位名称</t>
    <phoneticPr fontId="1" type="noConversion"/>
  </si>
  <si>
    <t>lingjianhao</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</si>
</sst>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F800]dddd\,\ mmmm\ dd\,\ yyyy"/>
  </numFmts>
  <fonts count="15">
    <font>
      <sz val="11"/>
      <color theme="1"/>
      <name val="宋体"/>
      <family val="2"/>
      <scheme val="minor"/>
    </font>
    <font>
      <sz val="9"/>
      <name val="宋体"/>
      <family val="3"/>
      <charset val="134"/>
      <scheme val="minor"/>
    </font>
    <font>
      <sz val="11"/>
      <color indexed="8"/>
      <name val="宋体"/>
      <family val="3"/>
      <charset val="134"/>
    </font>
    <font>
      <sz val="11"/>
      <color theme="1"/>
      <name val="宋体"/>
      <family val="3"/>
      <charset val="134"/>
      <scheme val="minor"/>
    </font>
    <font>
      <sz val="14"/>
      <color theme="1"/>
      <name val="宋体"/>
      <family val="2"/>
      <scheme val="minor"/>
    </font>
    <font>
      <sz val="14"/>
      <color theme="1"/>
      <name val="宋体"/>
      <family val="3"/>
      <charset val="134"/>
      <scheme val="minor"/>
    </font>
    <font>
      <sz val="11"/>
      <color theme="1"/>
      <name val="宋体"/>
      <family val="2"/>
      <scheme val="minor"/>
    </font>
    <font>
      <sz val="12"/>
      <name val="宋体"/>
      <family val="3"/>
      <charset val="134"/>
    </font>
    <font>
      <sz val="9"/>
      <name val="宋体"/>
      <family val="3"/>
      <charset val="134"/>
    </font>
    <font>
      <b/>
      <sz val="11"/>
      <name val="宋体"/>
      <family val="3"/>
      <charset val="134"/>
      <scheme val="minor"/>
    </font>
    <font>
      <sz val="9"/>
      <name val="宋体"/>
      <family val="2"/>
      <charset val="134"/>
      <scheme val="minor"/>
    </font>
    <font>
      <sz val="11"/>
      <name val="宋体"/>
      <family val="3"/>
      <charset val="134"/>
      <scheme val="minor"/>
    </font>
    <font>
      <sz val="11"/>
      <color indexed="20"/>
      <name val="宋体"/>
      <family val="3"/>
      <charset val="134"/>
    </font>
    <font>
      <sz val="11"/>
      <color indexed="17"/>
      <name val="宋体"/>
      <family val="3"/>
      <charset val="134"/>
    </font>
    <font>
      <sz val="11"/>
      <name val="돋움"/>
      <family val="2"/>
    </font>
  </fonts>
  <fills count="6">
    <fill>
      <patternFill patternType="none"/>
    </fill>
    <fill>
      <patternFill patternType="gray125"/>
    </fill>
    <fill>
      <patternFill patternType="solid">
        <fgColor theme="4" tint="0.59999389629810485"/>
        <bgColor indexed="64"/>
      </patternFill>
    </fill>
    <fill>
      <patternFill patternType="solid">
        <fgColor indexed="45"/>
        <bgColor indexed="64"/>
      </patternFill>
    </fill>
    <fill>
      <patternFill patternType="solid">
        <fgColor indexed="42"/>
        <bgColor indexed="64"/>
      </patternFill>
    </fill>
    <fill>
      <patternFill patternType="solid">
        <fgColor theme="0"/>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style="thin">
        <color auto="1"/>
      </left>
      <right/>
      <top/>
      <bottom/>
      <diagonal/>
    </border>
    <border>
      <left style="thin">
        <color indexed="64"/>
      </left>
      <right/>
      <top/>
      <bottom style="thin">
        <color indexed="64"/>
      </bottom>
      <diagonal/>
    </border>
  </borders>
  <cellStyleXfs count="30">
    <xf numFmtId="0" fontId="0" fillId="0" borderId="0"/>
    <xf numFmtId="0" fontId="2" fillId="0" borderId="0">
      <alignment vertical="center"/>
    </xf>
    <xf numFmtId="176" fontId="7" fillId="0" borderId="0">
      <alignment vertical="center"/>
    </xf>
    <xf numFmtId="176" fontId="2" fillId="0" borderId="0">
      <alignment vertical="center"/>
    </xf>
    <xf numFmtId="9" fontId="7" fillId="0" borderId="0" applyFont="0" applyFill="0" applyBorder="0" applyAlignment="0" applyProtection="0"/>
    <xf numFmtId="176" fontId="12" fillId="3" borderId="0" applyNumberFormat="0" applyBorder="0" applyAlignment="0" applyProtection="0">
      <alignment vertical="center"/>
    </xf>
    <xf numFmtId="176" fontId="3" fillId="0" borderId="0">
      <alignment vertical="center"/>
    </xf>
    <xf numFmtId="176" fontId="7" fillId="0" borderId="0">
      <alignment vertical="center"/>
    </xf>
    <xf numFmtId="0" fontId="3" fillId="0" borderId="0">
      <alignment vertical="center"/>
    </xf>
    <xf numFmtId="0" fontId="6" fillId="0" borderId="0"/>
    <xf numFmtId="176" fontId="7" fillId="0" borderId="0">
      <alignment vertical="center"/>
    </xf>
    <xf numFmtId="0" fontId="7" fillId="0" borderId="0">
      <alignment vertical="center"/>
    </xf>
    <xf numFmtId="176" fontId="3" fillId="0" borderId="0">
      <alignment vertical="center"/>
    </xf>
    <xf numFmtId="176" fontId="2" fillId="0" borderId="0" applyProtection="0">
      <alignment vertical="center"/>
    </xf>
    <xf numFmtId="0" fontId="7" fillId="0" borderId="0"/>
    <xf numFmtId="176" fontId="2"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2" fillId="0" borderId="0">
      <alignment vertical="center"/>
    </xf>
    <xf numFmtId="176" fontId="3" fillId="0" borderId="0">
      <alignment vertical="center"/>
    </xf>
    <xf numFmtId="176" fontId="2" fillId="0" borderId="0">
      <alignment vertical="center"/>
    </xf>
    <xf numFmtId="176" fontId="2" fillId="0" borderId="0">
      <alignment vertical="center"/>
    </xf>
    <xf numFmtId="176" fontId="7" fillId="0" borderId="0">
      <alignment vertical="center"/>
    </xf>
    <xf numFmtId="176" fontId="6" fillId="0" borderId="0"/>
    <xf numFmtId="176" fontId="7" fillId="0" borderId="0">
      <alignment vertical="center"/>
    </xf>
    <xf numFmtId="176" fontId="7" fillId="0" borderId="0">
      <alignment vertical="center"/>
    </xf>
    <xf numFmtId="176" fontId="13" fillId="4" borderId="0" applyNumberFormat="0" applyBorder="0" applyAlignment="0" applyProtection="0">
      <alignment vertical="center"/>
    </xf>
    <xf numFmtId="176" fontId="14" fillId="0" borderId="0"/>
  </cellStyleXfs>
  <cellXfs count="67">
    <xf numFmtId="0" fontId="0" fillId="0" borderId="0" xfId="0"/>
    <xf numFmtId="0" fontId="0" fillId="0" borderId="0" xfId="0" applyAlignment="1">
      <alignment horizontal="center" vertical="center"/>
    </xf>
    <xf numFmtId="0" fontId="3" fillId="0" borderId="1" xfId="0" applyFont="1" applyBorder="1" applyAlignment="1">
      <alignment horizontal="center" vertical="center" wrapText="1"/>
    </xf>
    <xf numFmtId="0" fontId="5" fillId="0" borderId="0" xfId="0" applyFont="1" applyAlignment="1">
      <alignment horizontal="center" vertical="center"/>
    </xf>
    <xf numFmtId="0" fontId="5" fillId="0" borderId="0" xfId="0" applyFont="1"/>
    <xf numFmtId="0" fontId="7" fillId="0" borderId="0" xfId="2" applyNumberFormat="1">
      <alignment vertical="center"/>
    </xf>
    <xf numFmtId="0" fontId="9" fillId="0" borderId="1" xfId="2" applyNumberFormat="1" applyFont="1" applyFill="1" applyBorder="1" applyAlignment="1">
      <alignment horizontal="center" vertical="center" wrapText="1"/>
    </xf>
    <xf numFmtId="0" fontId="9" fillId="0" borderId="1" xfId="2" applyNumberFormat="1" applyFont="1" applyFill="1" applyBorder="1" applyAlignment="1">
      <alignment horizontal="center" vertical="center"/>
    </xf>
    <xf numFmtId="0" fontId="9" fillId="0" borderId="2" xfId="2" applyNumberFormat="1" applyFont="1" applyFill="1" applyBorder="1" applyAlignment="1">
      <alignment horizontal="center" vertical="center"/>
    </xf>
    <xf numFmtId="0" fontId="11" fillId="0" borderId="1" xfId="2" applyNumberFormat="1" applyFont="1" applyFill="1" applyBorder="1" applyAlignment="1">
      <alignment vertical="center"/>
    </xf>
    <xf numFmtId="0" fontId="1" fillId="0" borderId="1" xfId="2" applyNumberFormat="1" applyFont="1" applyFill="1" applyBorder="1" applyAlignment="1">
      <alignment horizontal="center" vertical="center"/>
    </xf>
    <xf numFmtId="0" fontId="1" fillId="0" borderId="2" xfId="2" applyNumberFormat="1" applyFont="1" applyFill="1" applyBorder="1" applyAlignment="1">
      <alignment horizontal="center" vertical="center"/>
    </xf>
    <xf numFmtId="0" fontId="11" fillId="0" borderId="1" xfId="2" applyNumberFormat="1" applyFont="1" applyFill="1" applyBorder="1" applyAlignment="1">
      <alignment vertical="center" wrapText="1"/>
    </xf>
    <xf numFmtId="0" fontId="1" fillId="0" borderId="1" xfId="3" applyNumberFormat="1" applyFont="1" applyFill="1" applyBorder="1" applyAlignment="1">
      <alignment horizontal="center" vertical="center" wrapText="1"/>
    </xf>
    <xf numFmtId="0" fontId="1" fillId="0" borderId="3" xfId="3" applyNumberFormat="1" applyFont="1" applyFill="1" applyBorder="1" applyAlignment="1">
      <alignment horizontal="center" vertical="center" wrapText="1"/>
    </xf>
    <xf numFmtId="0" fontId="1" fillId="0" borderId="6" xfId="2" applyNumberFormat="1" applyFont="1" applyFill="1" applyBorder="1" applyAlignment="1">
      <alignment horizontal="center" vertical="center"/>
    </xf>
    <xf numFmtId="0" fontId="1" fillId="0" borderId="7" xfId="2" applyNumberFormat="1" applyFont="1" applyFill="1" applyBorder="1" applyAlignment="1">
      <alignment horizontal="center" vertical="center"/>
    </xf>
    <xf numFmtId="0" fontId="1" fillId="0" borderId="8" xfId="2" applyNumberFormat="1" applyFont="1" applyFill="1" applyBorder="1" applyAlignment="1">
      <alignment horizontal="center" vertical="center"/>
    </xf>
    <xf numFmtId="0" fontId="1" fillId="0" borderId="6" xfId="2" applyNumberFormat="1" applyFont="1" applyFill="1" applyBorder="1" applyAlignment="1">
      <alignment horizontal="center" vertical="center" wrapText="1"/>
    </xf>
    <xf numFmtId="0" fontId="1" fillId="0" borderId="9" xfId="2" applyNumberFormat="1" applyFont="1" applyFill="1" applyBorder="1" applyAlignment="1">
      <alignment horizontal="center" vertical="center" wrapText="1"/>
    </xf>
    <xf numFmtId="0" fontId="1" fillId="0" borderId="1" xfId="2" applyNumberFormat="1" applyFont="1" applyFill="1" applyBorder="1" applyAlignment="1">
      <alignment horizontal="center" vertical="center" wrapText="1"/>
    </xf>
    <xf numFmtId="0" fontId="1" fillId="0" borderId="2" xfId="2" applyNumberFormat="1" applyFont="1" applyFill="1" applyBorder="1" applyAlignment="1">
      <alignment horizontal="center" vertical="center" wrapText="1"/>
    </xf>
    <xf numFmtId="0" fontId="1" fillId="0" borderId="7" xfId="2" applyNumberFormat="1" applyFont="1" applyFill="1" applyBorder="1" applyAlignment="1">
      <alignment horizontal="center" vertical="center" wrapText="1"/>
    </xf>
    <xf numFmtId="0" fontId="1" fillId="0" borderId="8" xfId="2" applyNumberFormat="1" applyFont="1" applyFill="1" applyBorder="1" applyAlignment="1">
      <alignment horizontal="center" vertical="center" wrapText="1"/>
    </xf>
    <xf numFmtId="0" fontId="1" fillId="0" borderId="9" xfId="2" applyNumberFormat="1" applyFont="1" applyFill="1" applyBorder="1" applyAlignment="1">
      <alignment horizontal="center" vertical="center"/>
    </xf>
    <xf numFmtId="0" fontId="1" fillId="0" borderId="5" xfId="2" applyNumberFormat="1" applyFont="1" applyFill="1" applyBorder="1" applyAlignment="1">
      <alignment horizontal="center" vertical="center"/>
    </xf>
    <xf numFmtId="0" fontId="1" fillId="0" borderId="10" xfId="2" applyNumberFormat="1" applyFont="1" applyFill="1" applyBorder="1" applyAlignment="1">
      <alignment horizontal="center" vertical="center"/>
    </xf>
    <xf numFmtId="0" fontId="1" fillId="0" borderId="4" xfId="2" applyNumberFormat="1" applyFont="1" applyFill="1" applyBorder="1" applyAlignment="1">
      <alignment horizontal="center" vertical="center" wrapText="1"/>
    </xf>
    <xf numFmtId="0" fontId="1" fillId="0" borderId="11" xfId="2" applyNumberFormat="1" applyFont="1" applyFill="1" applyBorder="1" applyAlignment="1">
      <alignment horizontal="center" vertical="center" wrapText="1"/>
    </xf>
    <xf numFmtId="0" fontId="11" fillId="0" borderId="0" xfId="2" applyNumberFormat="1" applyFont="1" applyFill="1" applyAlignment="1"/>
    <xf numFmtId="0" fontId="0" fillId="0" borderId="1" xfId="0" applyFill="1" applyBorder="1" applyAlignment="1">
      <alignment horizontal="center" vertical="center" wrapText="1"/>
    </xf>
    <xf numFmtId="0" fontId="0" fillId="0" borderId="1" xfId="0" applyBorder="1" applyAlignment="1">
      <alignment horizontal="center" vertical="center" wrapText="1"/>
    </xf>
    <xf numFmtId="0" fontId="0" fillId="0" borderId="1" xfId="0" applyFill="1" applyBorder="1" applyAlignment="1">
      <alignment horizontal="center" vertical="center" wrapText="1"/>
    </xf>
    <xf numFmtId="0" fontId="0" fillId="0" borderId="1" xfId="0" applyNumberFormat="1" applyBorder="1" applyAlignment="1">
      <alignment horizontal="center" vertical="center" wrapText="1"/>
    </xf>
    <xf numFmtId="0" fontId="0" fillId="0" borderId="1" xfId="0" applyBorder="1" applyAlignment="1">
      <alignment horizontal="center" vertical="center" wrapText="1"/>
    </xf>
    <xf numFmtId="0" fontId="0" fillId="0" borderId="1" xfId="0" applyFill="1" applyBorder="1" applyAlignment="1">
      <alignment horizontal="center" vertical="center" wrapText="1"/>
    </xf>
    <xf numFmtId="0" fontId="0" fillId="0" borderId="3" xfId="0" applyFill="1" applyBorder="1" applyAlignment="1">
      <alignment horizontal="center" vertical="center" wrapText="1"/>
    </xf>
    <xf numFmtId="0" fontId="0" fillId="0" borderId="3" xfId="0" applyBorder="1" applyAlignment="1">
      <alignment horizontal="center" vertical="center" wrapText="1"/>
    </xf>
    <xf numFmtId="0" fontId="0" fillId="0" borderId="1" xfId="0" applyBorder="1" applyAlignment="1">
      <alignment horizontal="center" vertical="center" wrapText="1"/>
    </xf>
    <xf numFmtId="0" fontId="0" fillId="0" borderId="3" xfId="0" applyFill="1" applyBorder="1" applyAlignment="1">
      <alignment horizontal="center" vertical="center" wrapText="1"/>
    </xf>
    <xf numFmtId="0" fontId="0" fillId="0" borderId="3" xfId="0" applyBorder="1" applyAlignment="1">
      <alignment horizontal="center" vertical="center" wrapText="1"/>
    </xf>
    <xf numFmtId="0" fontId="0" fillId="0" borderId="1" xfId="0" applyBorder="1" applyAlignment="1">
      <alignment horizontal="center" vertical="center" wrapText="1"/>
    </xf>
    <xf numFmtId="0" fontId="0" fillId="0" borderId="1" xfId="0" applyFill="1" applyBorder="1" applyAlignment="1">
      <alignment horizontal="center" vertical="center" wrapText="1"/>
    </xf>
    <xf numFmtId="0" fontId="0" fillId="5" borderId="1" xfId="0" applyFill="1" applyBorder="1" applyAlignment="1">
      <alignment horizontal="center" vertical="center" wrapText="1"/>
    </xf>
    <xf numFmtId="0" fontId="0" fillId="0" borderId="1" xfId="0" applyBorder="1" applyAlignment="1">
      <alignment horizontal="center" vertical="center"/>
    </xf>
    <xf numFmtId="0" fontId="0" fillId="0" borderId="1" xfId="0" quotePrefix="1" applyBorder="1" applyAlignment="1">
      <alignment horizontal="center" vertical="center" wrapText="1"/>
    </xf>
    <xf numFmtId="0" fontId="3" fillId="0" borderId="3" xfId="0" applyFont="1" applyBorder="1" applyAlignment="1">
      <alignment horizontal="center" vertical="center" wrapText="1"/>
    </xf>
    <xf numFmtId="0" fontId="0" fillId="0" borderId="1" xfId="0" applyFill="1" applyBorder="1" applyAlignment="1">
      <alignment horizontal="center" vertical="center" wrapText="1"/>
    </xf>
    <xf numFmtId="0" fontId="0" fillId="0" borderId="1" xfId="0" applyBorder="1" applyAlignment="1">
      <alignment horizontal="center" vertical="center" wrapText="1"/>
    </xf>
    <xf numFmtId="0" fontId="0" fillId="0" borderId="1" xfId="0" applyBorder="1" applyAlignment="1">
      <alignment horizontal="center" vertical="center" wrapText="1"/>
    </xf>
    <xf numFmtId="0" fontId="0" fillId="0" borderId="1" xfId="0" applyFill="1" applyBorder="1" applyAlignment="1">
      <alignment horizontal="center" vertical="center" wrapText="1"/>
    </xf>
    <xf numFmtId="0" fontId="0" fillId="0" borderId="1" xfId="0" applyFill="1" applyBorder="1" applyAlignment="1">
      <alignment horizontal="center" vertical="center" wrapText="1"/>
    </xf>
    <xf numFmtId="0" fontId="0" fillId="0" borderId="1" xfId="0" applyBorder="1" applyAlignment="1">
      <alignment horizontal="center" vertical="center" wrapText="1"/>
    </xf>
    <xf numFmtId="0" fontId="4" fillId="2" borderId="1" xfId="0" applyFont="1" applyFill="1" applyBorder="1" applyAlignment="1">
      <alignment horizontal="center" vertical="center"/>
    </xf>
    <xf numFmtId="0" fontId="0" fillId="0" borderId="3" xfId="0" applyFill="1" applyBorder="1" applyAlignment="1">
      <alignment horizontal="center" vertical="center" wrapText="1"/>
    </xf>
    <xf numFmtId="0" fontId="0" fillId="0" borderId="1" xfId="0" applyFill="1" applyBorder="1" applyAlignment="1">
      <alignment vertical="center" wrapText="1"/>
    </xf>
    <xf numFmtId="0" fontId="0" fillId="0" borderId="3" xfId="0" applyFill="1" applyBorder="1" applyAlignment="1">
      <alignment vertical="center" wrapText="1"/>
    </xf>
    <xf numFmtId="0" fontId="0" fillId="0" borderId="4" xfId="0" applyFill="1" applyBorder="1" applyAlignment="1">
      <alignment vertical="center" wrapText="1"/>
    </xf>
    <xf numFmtId="0" fontId="0" fillId="0" borderId="5" xfId="0" applyFill="1" applyBorder="1" applyAlignment="1">
      <alignment vertical="center" wrapText="1"/>
    </xf>
    <xf numFmtId="0" fontId="5" fillId="2" borderId="1" xfId="0" applyFont="1" applyFill="1" applyBorder="1" applyAlignment="1">
      <alignment horizontal="center" vertical="center"/>
    </xf>
    <xf numFmtId="0" fontId="0" fillId="0" borderId="1" xfId="0" applyBorder="1" applyAlignment="1">
      <alignment horizontal="center" vertical="center" wrapText="1"/>
    </xf>
    <xf numFmtId="0" fontId="0" fillId="0" borderId="3" xfId="0" applyBorder="1" applyAlignment="1">
      <alignment horizontal="center" vertical="center" wrapText="1"/>
    </xf>
    <xf numFmtId="0" fontId="0" fillId="0" borderId="5" xfId="0" applyBorder="1" applyAlignment="1">
      <alignment horizontal="center" vertical="center" wrapText="1"/>
    </xf>
    <xf numFmtId="0" fontId="0" fillId="0" borderId="4" xfId="0" applyBorder="1" applyAlignment="1">
      <alignment horizontal="center" vertical="center" wrapText="1"/>
    </xf>
    <xf numFmtId="0" fontId="0" fillId="0" borderId="1" xfId="0" applyFill="1" applyBorder="1" applyAlignment="1">
      <alignment horizontal="center" vertical="center" wrapText="1"/>
    </xf>
    <xf numFmtId="0" fontId="0" fillId="0" borderId="3" xfId="0" applyFill="1" applyBorder="1" applyAlignment="1">
      <alignment horizontal="center" vertical="center" wrapText="1"/>
    </xf>
    <xf numFmtId="0" fontId="0" fillId="0" borderId="4" xfId="0" applyFill="1" applyBorder="1" applyAlignment="1">
      <alignment horizontal="center" vertical="center" wrapText="1"/>
    </xf>
  </cellXfs>
  <cellStyles count="30">
    <cellStyle name="百分比 2" xfId="4"/>
    <cellStyle name="差_统计表" xfId="5"/>
    <cellStyle name="常规" xfId="0" builtinId="0"/>
    <cellStyle name="常规 10" xfId="6"/>
    <cellStyle name="常规 10 2" xfId="7"/>
    <cellStyle name="常规 10 3" xfId="8"/>
    <cellStyle name="常规 11" xfId="9"/>
    <cellStyle name="常规 16" xfId="10"/>
    <cellStyle name="常规 16 2" xfId="11"/>
    <cellStyle name="常规 2" xfId="3"/>
    <cellStyle name="常规 2 2" xfId="12"/>
    <cellStyle name="常规 2 3" xfId="13"/>
    <cellStyle name="常规 2 4" xfId="14"/>
    <cellStyle name="常规 2_统计表" xfId="15"/>
    <cellStyle name="常规 3" xfId="16"/>
    <cellStyle name="常规 3 2" xfId="17"/>
    <cellStyle name="常规 3 4" xfId="18"/>
    <cellStyle name="常规 3 4 2" xfId="19"/>
    <cellStyle name="常规 3 4 3" xfId="20"/>
    <cellStyle name="常规 3 4 4" xfId="21"/>
    <cellStyle name="常规 3_统计表" xfId="22"/>
    <cellStyle name="常规 4" xfId="23"/>
    <cellStyle name="常规 5" xfId="2"/>
    <cellStyle name="常规 6" xfId="24"/>
    <cellStyle name="常规 6 2" xfId="25"/>
    <cellStyle name="常规 7" xfId="1"/>
    <cellStyle name="常规 8" xfId="26"/>
    <cellStyle name="常规 9" xfId="27"/>
    <cellStyle name="好_统计表" xfId="28"/>
    <cellStyle name="표준_DYK-2 타이어라인 OLT (보고)_061120" xfId="29"/>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P421"/>
  <sheetViews>
    <sheetView tabSelected="1" view="pageBreakPreview" zoomScale="70" zoomScaleNormal="100" zoomScaleSheetLayoutView="70" workbookViewId="0">
      <pane xSplit="2" ySplit="1" topLeftCell="C2" activePane="bottomRight" state="frozen"/>
      <selection pane="topRight" activeCell="D1" sqref="D1"/>
      <selection pane="bottomLeft" activeCell="A3" sqref="A3"/>
      <selection pane="bottomRight" activeCell="D7" sqref="D7"/>
    </sheetView>
  </sheetViews>
  <sheetFormatPr defaultRowHeight="14.4"/>
  <cols>
    <col min="1" max="1" width="15.6640625" style="1" customWidth="1"/>
    <col min="2" max="2" width="33.33203125" style="1" customWidth="1"/>
    <col min="3" max="3" width="30.6640625" style="1" customWidth="1"/>
    <col min="4" max="6" width="15.6640625" style="1" customWidth="1"/>
    <col min="7" max="7" width="25.6640625" style="1" customWidth="1"/>
    <col min="8" max="8" width="21.33203125" style="1" bestFit="1" customWidth="1"/>
    <col min="9" max="9" width="20.44140625" style="1" bestFit="1" customWidth="1"/>
    <col min="10" max="13" width="16.6640625" style="1" customWidth="1"/>
    <col min="14" max="16" width="25.6640625" style="1" customWidth="1"/>
  </cols>
  <sheetData>
    <row r="1" spans="1:16" s="4" customFormat="1" ht="39" customHeight="1">
      <c r="A1" s="53" t="s">
        <v>1404</v>
      </c>
      <c r="B1" s="53" t="s">
        <v>1415</v>
      </c>
      <c r="C1" s="59" t="s">
        <v>1405</v>
      </c>
      <c r="D1" s="59" t="s">
        <v>1416</v>
      </c>
      <c r="E1" s="59" t="s">
        <v>1406</v>
      </c>
      <c r="F1" s="59" t="s">
        <v>1407</v>
      </c>
      <c r="G1" s="59" t="s">
        <v>1408</v>
      </c>
      <c r="H1" s="59" t="s">
        <v>1409</v>
      </c>
      <c r="I1" s="59" t="s">
        <v>1410</v>
      </c>
      <c r="J1" s="59" t="s">
        <v>1411</v>
      </c>
      <c r="K1" s="59" t="s">
        <v>1412</v>
      </c>
      <c r="L1" s="59" t="s">
        <v>1413</v>
      </c>
      <c r="M1" s="59" t="s">
        <v>1414</v>
      </c>
      <c r="N1" s="3"/>
      <c r="O1" s="3"/>
      <c r="P1" s="3"/>
    </row>
    <row r="2" spans="1:16" ht="14.4" customHeight="1">
      <c r="A2" s="55" t="s">
        <v>41</v>
      </c>
      <c r="B2" s="56" t="str">
        <f>IF(A2="","",VLOOKUP(A2,工位附件!D:E,2,FALSE))</f>
        <v>后纵梁总成1#-左</v>
      </c>
      <c r="C2" s="30" t="s">
        <v>387</v>
      </c>
      <c r="D2" s="30" t="s">
        <v>386</v>
      </c>
      <c r="E2" s="30">
        <v>1</v>
      </c>
      <c r="F2" s="60">
        <v>25</v>
      </c>
      <c r="G2" s="60" t="s">
        <v>4</v>
      </c>
      <c r="H2" s="31" t="s">
        <v>392</v>
      </c>
      <c r="I2" s="31" t="s">
        <v>394</v>
      </c>
      <c r="J2" s="31" t="s">
        <v>395</v>
      </c>
      <c r="K2" s="31" t="s">
        <v>1</v>
      </c>
      <c r="L2" s="2" t="s">
        <v>2</v>
      </c>
      <c r="M2" s="2" t="s">
        <v>3</v>
      </c>
    </row>
    <row r="3" spans="1:16">
      <c r="A3" s="55" t="str">
        <f t="shared" ref="A3:A4" si="0">A2</f>
        <v>W1RR4-010L</v>
      </c>
      <c r="B3" s="56" t="str">
        <f>IF(A3="","",VLOOKUP(A3,工位附件!D:E,2,FALSE))</f>
        <v>后纵梁总成1#-左</v>
      </c>
      <c r="C3" s="30" t="s">
        <v>389</v>
      </c>
      <c r="D3" s="30" t="s">
        <v>388</v>
      </c>
      <c r="E3" s="30">
        <v>1</v>
      </c>
      <c r="F3" s="60"/>
      <c r="G3" s="60"/>
      <c r="H3" s="31" t="s">
        <v>393</v>
      </c>
      <c r="I3" s="31" t="s">
        <v>396</v>
      </c>
      <c r="J3" s="31" t="s">
        <v>1</v>
      </c>
      <c r="K3" s="31" t="s">
        <v>1</v>
      </c>
      <c r="L3" s="2" t="s">
        <v>2</v>
      </c>
      <c r="M3" s="2" t="s">
        <v>3</v>
      </c>
    </row>
    <row r="4" spans="1:16">
      <c r="A4" s="55" t="str">
        <f t="shared" si="0"/>
        <v>W1RR4-010L</v>
      </c>
      <c r="B4" s="56" t="str">
        <f>IF(A4="","",VLOOKUP(A4,工位附件!D:E,2,FALSE))</f>
        <v>后纵梁总成1#-左</v>
      </c>
      <c r="C4" s="30" t="s">
        <v>390</v>
      </c>
      <c r="D4" s="30" t="s">
        <v>391</v>
      </c>
      <c r="E4" s="30">
        <v>1</v>
      </c>
      <c r="F4" s="60"/>
      <c r="G4" s="60"/>
      <c r="H4" s="31"/>
      <c r="I4" s="31"/>
      <c r="J4" s="31"/>
      <c r="K4" s="31"/>
      <c r="L4" s="2"/>
      <c r="M4" s="2"/>
    </row>
    <row r="5" spans="1:16" ht="14.4" customHeight="1">
      <c r="A5" s="55" t="s">
        <v>373</v>
      </c>
      <c r="B5" s="56" t="str">
        <f>IF(A5="","",VLOOKUP(A5,工位附件!D:E,2,FALSE))</f>
        <v>后纵梁总成2#-左</v>
      </c>
      <c r="C5" s="30" t="s">
        <v>390</v>
      </c>
      <c r="D5" s="30" t="s">
        <v>397</v>
      </c>
      <c r="E5" s="30">
        <v>1</v>
      </c>
      <c r="F5" s="60">
        <v>16</v>
      </c>
      <c r="G5" s="60" t="s">
        <v>409</v>
      </c>
      <c r="H5" s="31" t="s">
        <v>400</v>
      </c>
      <c r="I5" s="31" t="s">
        <v>401</v>
      </c>
      <c r="J5" s="31" t="s">
        <v>395</v>
      </c>
      <c r="K5" s="31" t="s">
        <v>420</v>
      </c>
      <c r="L5" s="2" t="s">
        <v>2</v>
      </c>
      <c r="M5" s="2" t="s">
        <v>3</v>
      </c>
    </row>
    <row r="6" spans="1:16">
      <c r="A6" s="55" t="str">
        <f>A5</f>
        <v>W1RR4-020L</v>
      </c>
      <c r="B6" s="56" t="str">
        <f>IF(A6="","",VLOOKUP(A6,工位附件!D:E,2,FALSE))</f>
        <v>后纵梁总成2#-左</v>
      </c>
      <c r="C6" s="30" t="s">
        <v>399</v>
      </c>
      <c r="D6" s="30" t="s">
        <v>398</v>
      </c>
      <c r="E6" s="30">
        <v>1</v>
      </c>
      <c r="F6" s="60"/>
      <c r="G6" s="60"/>
      <c r="H6" s="31" t="s">
        <v>402</v>
      </c>
      <c r="I6" s="31" t="s">
        <v>403</v>
      </c>
      <c r="J6" s="31" t="s">
        <v>1</v>
      </c>
      <c r="K6" s="31" t="s">
        <v>1</v>
      </c>
      <c r="L6" s="2" t="s">
        <v>2</v>
      </c>
      <c r="M6" s="2" t="s">
        <v>3</v>
      </c>
    </row>
    <row r="7" spans="1:16" ht="14.4" customHeight="1">
      <c r="A7" s="55" t="s">
        <v>45</v>
      </c>
      <c r="B7" s="56" t="str">
        <f>IF(A7="","",VLOOKUP(A7,工位附件!D:E,2,FALSE))</f>
        <v>后纵梁总成1#-右</v>
      </c>
      <c r="C7" s="30" t="s">
        <v>405</v>
      </c>
      <c r="D7" s="30" t="s">
        <v>404</v>
      </c>
      <c r="E7" s="30">
        <v>1</v>
      </c>
      <c r="F7" s="60">
        <v>25</v>
      </c>
      <c r="G7" s="60" t="s">
        <v>1330</v>
      </c>
      <c r="H7" s="31" t="s">
        <v>411</v>
      </c>
      <c r="I7" s="31" t="s">
        <v>413</v>
      </c>
      <c r="J7" s="31" t="s">
        <v>395</v>
      </c>
      <c r="K7" s="31" t="s">
        <v>420</v>
      </c>
      <c r="L7" s="2" t="s">
        <v>2</v>
      </c>
      <c r="M7" s="2" t="s">
        <v>3</v>
      </c>
    </row>
    <row r="8" spans="1:16" ht="28.8">
      <c r="A8" s="55" t="str">
        <f t="shared" ref="A8:A9" si="1">A7</f>
        <v>W1RR4-010R</v>
      </c>
      <c r="B8" s="56" t="str">
        <f>IF(A8="","",VLOOKUP(A8,工位附件!D:E,2,FALSE))</f>
        <v>后纵梁总成1#-右</v>
      </c>
      <c r="C8" s="30" t="s">
        <v>389</v>
      </c>
      <c r="D8" s="30" t="s">
        <v>406</v>
      </c>
      <c r="E8" s="30">
        <v>1</v>
      </c>
      <c r="F8" s="60"/>
      <c r="G8" s="60"/>
      <c r="H8" s="31" t="s">
        <v>412</v>
      </c>
      <c r="I8" s="31" t="s">
        <v>414</v>
      </c>
      <c r="J8" s="31" t="s">
        <v>1</v>
      </c>
      <c r="K8" s="31" t="s">
        <v>1</v>
      </c>
      <c r="L8" s="2" t="s">
        <v>2</v>
      </c>
      <c r="M8" s="2" t="s">
        <v>3</v>
      </c>
    </row>
    <row r="9" spans="1:16">
      <c r="A9" s="55" t="str">
        <f t="shared" si="1"/>
        <v>W1RR4-010R</v>
      </c>
      <c r="B9" s="56" t="str">
        <f>IF(A9="","",VLOOKUP(A9,工位附件!D:E,2,FALSE))</f>
        <v>后纵梁总成1#-右</v>
      </c>
      <c r="C9" s="30" t="s">
        <v>408</v>
      </c>
      <c r="D9" s="30" t="s">
        <v>407</v>
      </c>
      <c r="E9" s="30">
        <v>1</v>
      </c>
      <c r="F9" s="60"/>
      <c r="G9" s="60"/>
      <c r="H9" s="31"/>
      <c r="I9" s="31"/>
      <c r="J9" s="31"/>
      <c r="K9" s="31"/>
      <c r="L9" s="2"/>
      <c r="M9" s="2"/>
    </row>
    <row r="10" spans="1:16" ht="14.4" customHeight="1">
      <c r="A10" s="55" t="s">
        <v>47</v>
      </c>
      <c r="B10" s="56" t="str">
        <f>IF(A10="","",VLOOKUP(A10,工位附件!D:E,2,FALSE))</f>
        <v>后纵梁总成2#-右</v>
      </c>
      <c r="C10" s="30" t="s">
        <v>408</v>
      </c>
      <c r="D10" s="30" t="s">
        <v>415</v>
      </c>
      <c r="E10" s="30">
        <v>1</v>
      </c>
      <c r="F10" s="60">
        <v>16</v>
      </c>
      <c r="G10" s="60" t="s">
        <v>410</v>
      </c>
      <c r="H10" s="31" t="s">
        <v>418</v>
      </c>
      <c r="I10" s="31" t="s">
        <v>401</v>
      </c>
      <c r="J10" s="31" t="s">
        <v>395</v>
      </c>
      <c r="K10" s="31" t="s">
        <v>420</v>
      </c>
      <c r="L10" s="2" t="s">
        <v>2</v>
      </c>
      <c r="M10" s="2" t="s">
        <v>3</v>
      </c>
    </row>
    <row r="11" spans="1:16">
      <c r="A11" s="55" t="str">
        <f>A10</f>
        <v>W1RR4-020R</v>
      </c>
      <c r="B11" s="56" t="str">
        <f>IF(A11="","",VLOOKUP(A11,工位附件!D:E,2,FALSE))</f>
        <v>后纵梁总成2#-右</v>
      </c>
      <c r="C11" s="30" t="s">
        <v>417</v>
      </c>
      <c r="D11" s="30" t="s">
        <v>416</v>
      </c>
      <c r="E11" s="30">
        <v>1</v>
      </c>
      <c r="F11" s="60"/>
      <c r="G11" s="60"/>
      <c r="H11" s="31" t="s">
        <v>419</v>
      </c>
      <c r="I11" s="31" t="s">
        <v>403</v>
      </c>
      <c r="J11" s="31" t="s">
        <v>1</v>
      </c>
      <c r="K11" s="31" t="s">
        <v>1</v>
      </c>
      <c r="L11" s="2" t="s">
        <v>2</v>
      </c>
      <c r="M11" s="2" t="s">
        <v>3</v>
      </c>
    </row>
    <row r="12" spans="1:16">
      <c r="A12" s="55" t="s">
        <v>49</v>
      </c>
      <c r="B12" s="56" t="str">
        <f>IF(A12="","",VLOOKUP(A12,工位附件!D:E,2,FALSE))</f>
        <v>后地板1#</v>
      </c>
      <c r="C12" s="30" t="s">
        <v>375</v>
      </c>
      <c r="D12" s="30" t="s">
        <v>374</v>
      </c>
      <c r="E12" s="30">
        <v>2</v>
      </c>
      <c r="F12" s="60">
        <v>28</v>
      </c>
      <c r="G12" s="60" t="s">
        <v>4</v>
      </c>
      <c r="H12" s="31" t="s">
        <v>384</v>
      </c>
      <c r="I12" s="31" t="s">
        <v>0</v>
      </c>
      <c r="J12" s="31" t="s">
        <v>1</v>
      </c>
      <c r="K12" s="31" t="s">
        <v>1</v>
      </c>
      <c r="L12" s="2" t="s">
        <v>2</v>
      </c>
      <c r="M12" s="2" t="s">
        <v>3</v>
      </c>
    </row>
    <row r="13" spans="1:16">
      <c r="A13" s="55" t="str">
        <f t="shared" ref="A13:A16" si="2">A12</f>
        <v>W1RF4-010</v>
      </c>
      <c r="B13" s="56" t="str">
        <f>IF(A13="","",VLOOKUP(A13,工位附件!D:E,2,FALSE))</f>
        <v>后地板1#</v>
      </c>
      <c r="C13" s="30" t="s">
        <v>376</v>
      </c>
      <c r="D13" s="30" t="s">
        <v>377</v>
      </c>
      <c r="E13" s="30">
        <v>1</v>
      </c>
      <c r="F13" s="60"/>
      <c r="G13" s="60"/>
      <c r="H13" s="31" t="s">
        <v>385</v>
      </c>
      <c r="I13" s="31" t="s">
        <v>0</v>
      </c>
      <c r="J13" s="31" t="s">
        <v>1</v>
      </c>
      <c r="K13" s="31" t="s">
        <v>1</v>
      </c>
      <c r="L13" s="2" t="s">
        <v>2</v>
      </c>
      <c r="M13" s="2" t="s">
        <v>3</v>
      </c>
    </row>
    <row r="14" spans="1:16">
      <c r="A14" s="55" t="str">
        <f t="shared" si="2"/>
        <v>W1RF4-010</v>
      </c>
      <c r="B14" s="56" t="str">
        <f>IF(A14="","",VLOOKUP(A14,工位附件!D:E,2,FALSE))</f>
        <v>后地板1#</v>
      </c>
      <c r="C14" s="30" t="s">
        <v>378</v>
      </c>
      <c r="D14" s="30" t="s">
        <v>380</v>
      </c>
      <c r="E14" s="30">
        <v>1</v>
      </c>
      <c r="F14" s="60"/>
      <c r="G14" s="60"/>
      <c r="H14" s="31"/>
      <c r="I14" s="31"/>
      <c r="J14" s="31"/>
      <c r="K14" s="31"/>
      <c r="L14" s="2"/>
      <c r="M14" s="2"/>
    </row>
    <row r="15" spans="1:16">
      <c r="A15" s="55" t="str">
        <f t="shared" si="2"/>
        <v>W1RF4-010</v>
      </c>
      <c r="B15" s="56" t="str">
        <f>IF(A15="","",VLOOKUP(A15,工位附件!D:E,2,FALSE))</f>
        <v>后地板1#</v>
      </c>
      <c r="C15" s="30" t="s">
        <v>379</v>
      </c>
      <c r="D15" s="30" t="s">
        <v>381</v>
      </c>
      <c r="E15" s="30">
        <v>1</v>
      </c>
      <c r="F15" s="60"/>
      <c r="G15" s="60"/>
      <c r="H15" s="31"/>
      <c r="I15" s="31"/>
      <c r="J15" s="31"/>
      <c r="K15" s="31"/>
      <c r="L15" s="2"/>
      <c r="M15" s="2"/>
    </row>
    <row r="16" spans="1:16">
      <c r="A16" s="55" t="str">
        <f t="shared" si="2"/>
        <v>W1RF4-010</v>
      </c>
      <c r="B16" s="56" t="str">
        <f>IF(A16="","",VLOOKUP(A16,工位附件!D:E,2,FALSE))</f>
        <v>后地板1#</v>
      </c>
      <c r="C16" s="30" t="s">
        <v>382</v>
      </c>
      <c r="D16" s="30" t="s">
        <v>383</v>
      </c>
      <c r="E16" s="30">
        <v>4</v>
      </c>
      <c r="F16" s="60"/>
      <c r="G16" s="60"/>
      <c r="H16" s="31"/>
      <c r="I16" s="31"/>
      <c r="J16" s="31"/>
      <c r="K16" s="31"/>
      <c r="L16" s="2"/>
      <c r="M16" s="2"/>
    </row>
    <row r="17" spans="1:13">
      <c r="A17" s="56" t="s">
        <v>51</v>
      </c>
      <c r="B17" s="56" t="str">
        <f>IF(A17="","",VLOOKUP(A17,工位附件!D:E,2,FALSE))</f>
        <v>后地板2#</v>
      </c>
      <c r="C17" s="30" t="s">
        <v>423</v>
      </c>
      <c r="D17" s="30" t="s">
        <v>424</v>
      </c>
      <c r="E17" s="30">
        <v>1</v>
      </c>
      <c r="F17" s="65">
        <v>24</v>
      </c>
      <c r="G17" s="61" t="s">
        <v>409</v>
      </c>
      <c r="H17" s="31" t="s">
        <v>421</v>
      </c>
      <c r="I17" s="31" t="s">
        <v>422</v>
      </c>
      <c r="J17" s="31" t="s">
        <v>1</v>
      </c>
      <c r="K17" s="31" t="s">
        <v>1</v>
      </c>
      <c r="L17" s="2" t="s">
        <v>2</v>
      </c>
      <c r="M17" s="2" t="s">
        <v>3</v>
      </c>
    </row>
    <row r="18" spans="1:13">
      <c r="A18" s="57" t="str">
        <f>A17</f>
        <v>W1RF4-020</v>
      </c>
      <c r="B18" s="56" t="str">
        <f>IF(A18="","",VLOOKUP(A18,工位附件!D:E,2,FALSE))</f>
        <v>后地板2#</v>
      </c>
      <c r="C18" s="30"/>
      <c r="D18" s="30"/>
      <c r="E18" s="30"/>
      <c r="F18" s="66"/>
      <c r="G18" s="63"/>
      <c r="H18" s="31"/>
      <c r="I18" s="31"/>
      <c r="J18" s="31"/>
      <c r="K18" s="31"/>
      <c r="L18" s="2"/>
      <c r="M18" s="2"/>
    </row>
    <row r="19" spans="1:13">
      <c r="A19" s="55" t="s">
        <v>53</v>
      </c>
      <c r="B19" s="56" t="str">
        <f>IF(A19="","",VLOOKUP(A19,工位附件!D:E,2,FALSE))</f>
        <v>后地板3#</v>
      </c>
      <c r="C19" s="30" t="s">
        <v>425</v>
      </c>
      <c r="D19" s="30" t="s">
        <v>424</v>
      </c>
      <c r="E19" s="30">
        <v>1</v>
      </c>
      <c r="F19" s="60">
        <v>42</v>
      </c>
      <c r="G19" s="60" t="s">
        <v>410</v>
      </c>
      <c r="H19" s="31" t="s">
        <v>436</v>
      </c>
      <c r="I19" s="31" t="s">
        <v>437</v>
      </c>
      <c r="J19" s="31" t="s">
        <v>1</v>
      </c>
      <c r="K19" s="31" t="s">
        <v>1</v>
      </c>
      <c r="L19" s="2" t="s">
        <v>2</v>
      </c>
      <c r="M19" s="2" t="s">
        <v>3</v>
      </c>
    </row>
    <row r="20" spans="1:13">
      <c r="A20" s="55" t="str">
        <f t="shared" ref="A20:A24" si="3">A19</f>
        <v>W1RF4-030</v>
      </c>
      <c r="B20" s="56" t="str">
        <f>IF(A20="","",VLOOKUP(A20,工位附件!D:E,2,FALSE))</f>
        <v>后地板3#</v>
      </c>
      <c r="C20" s="30" t="s">
        <v>426</v>
      </c>
      <c r="D20" s="30" t="s">
        <v>427</v>
      </c>
      <c r="E20" s="30">
        <v>1</v>
      </c>
      <c r="F20" s="60"/>
      <c r="G20" s="60"/>
      <c r="H20" s="31" t="s">
        <v>438</v>
      </c>
      <c r="I20" s="31" t="s">
        <v>443</v>
      </c>
      <c r="J20" s="31" t="s">
        <v>1</v>
      </c>
      <c r="K20" s="31" t="s">
        <v>1</v>
      </c>
      <c r="L20" s="2" t="s">
        <v>2</v>
      </c>
      <c r="M20" s="2" t="s">
        <v>3</v>
      </c>
    </row>
    <row r="21" spans="1:13">
      <c r="A21" s="55" t="str">
        <f t="shared" si="3"/>
        <v>W1RF4-030</v>
      </c>
      <c r="B21" s="56" t="str">
        <f>IF(A21="","",VLOOKUP(A21,工位附件!D:E,2,FALSE))</f>
        <v>后地板3#</v>
      </c>
      <c r="C21" s="30" t="s">
        <v>429</v>
      </c>
      <c r="D21" s="30" t="s">
        <v>428</v>
      </c>
      <c r="E21" s="30">
        <v>1</v>
      </c>
      <c r="F21" s="60"/>
      <c r="G21" s="60"/>
      <c r="H21" s="31" t="s">
        <v>439</v>
      </c>
      <c r="I21" s="31" t="s">
        <v>422</v>
      </c>
      <c r="J21" s="31" t="s">
        <v>1</v>
      </c>
      <c r="K21" s="31" t="s">
        <v>1</v>
      </c>
      <c r="L21" s="2" t="s">
        <v>2</v>
      </c>
      <c r="M21" s="2" t="s">
        <v>3</v>
      </c>
    </row>
    <row r="22" spans="1:13">
      <c r="A22" s="55" t="str">
        <f t="shared" si="3"/>
        <v>W1RF4-030</v>
      </c>
      <c r="B22" s="56" t="str">
        <f>IF(A22="","",VLOOKUP(A22,工位附件!D:E,2,FALSE))</f>
        <v>后地板3#</v>
      </c>
      <c r="C22" s="30" t="s">
        <v>431</v>
      </c>
      <c r="D22" s="30" t="s">
        <v>430</v>
      </c>
      <c r="E22" s="30">
        <v>1</v>
      </c>
      <c r="F22" s="60"/>
      <c r="G22" s="60"/>
      <c r="H22" s="31" t="s">
        <v>440</v>
      </c>
      <c r="I22" s="31" t="s">
        <v>437</v>
      </c>
      <c r="J22" s="31" t="s">
        <v>1</v>
      </c>
      <c r="K22" s="31" t="s">
        <v>1</v>
      </c>
      <c r="L22" s="2" t="s">
        <v>2</v>
      </c>
      <c r="M22" s="2" t="s">
        <v>3</v>
      </c>
    </row>
    <row r="23" spans="1:13">
      <c r="A23" s="55" t="str">
        <f t="shared" si="3"/>
        <v>W1RF4-030</v>
      </c>
      <c r="B23" s="56" t="str">
        <f>IF(A23="","",VLOOKUP(A23,工位附件!D:E,2,FALSE))</f>
        <v>后地板3#</v>
      </c>
      <c r="C23" s="30" t="s">
        <v>433</v>
      </c>
      <c r="D23" s="30" t="s">
        <v>432</v>
      </c>
      <c r="E23" s="30">
        <v>1</v>
      </c>
      <c r="F23" s="60"/>
      <c r="G23" s="60"/>
      <c r="H23" s="31" t="s">
        <v>441</v>
      </c>
      <c r="I23" s="31" t="s">
        <v>444</v>
      </c>
      <c r="J23" s="31" t="s">
        <v>1</v>
      </c>
      <c r="K23" s="31" t="s">
        <v>1</v>
      </c>
      <c r="L23" s="2" t="s">
        <v>2</v>
      </c>
      <c r="M23" s="2" t="s">
        <v>3</v>
      </c>
    </row>
    <row r="24" spans="1:13">
      <c r="A24" s="55" t="str">
        <f t="shared" si="3"/>
        <v>W1RF4-030</v>
      </c>
      <c r="B24" s="56" t="str">
        <f>IF(A24="","",VLOOKUP(A24,工位附件!D:E,2,FALSE))</f>
        <v>后地板3#</v>
      </c>
      <c r="C24" s="30" t="s">
        <v>435</v>
      </c>
      <c r="D24" s="30" t="s">
        <v>434</v>
      </c>
      <c r="E24" s="30">
        <v>1</v>
      </c>
      <c r="F24" s="60"/>
      <c r="G24" s="60"/>
      <c r="H24" s="31" t="s">
        <v>442</v>
      </c>
      <c r="I24" s="31" t="s">
        <v>0</v>
      </c>
      <c r="J24" s="31" t="s">
        <v>1</v>
      </c>
      <c r="K24" s="31" t="s">
        <v>1</v>
      </c>
      <c r="L24" s="2" t="s">
        <v>2</v>
      </c>
      <c r="M24" s="2" t="s">
        <v>3</v>
      </c>
    </row>
    <row r="25" spans="1:13">
      <c r="A25" s="55" t="s">
        <v>55</v>
      </c>
      <c r="B25" s="56" t="str">
        <f>IF(A25="","",VLOOKUP(A25,工位附件!D:E,2,FALSE))</f>
        <v>后地板4#</v>
      </c>
      <c r="C25" s="30" t="s">
        <v>445</v>
      </c>
      <c r="D25" s="30" t="s">
        <v>397</v>
      </c>
      <c r="E25" s="30">
        <v>1</v>
      </c>
      <c r="F25" s="60">
        <v>46</v>
      </c>
      <c r="G25" s="60" t="s">
        <v>466</v>
      </c>
      <c r="H25" s="31" t="s">
        <v>451</v>
      </c>
      <c r="I25" s="31" t="s">
        <v>455</v>
      </c>
      <c r="J25" s="31" t="s">
        <v>1</v>
      </c>
      <c r="K25" s="31" t="s">
        <v>1</v>
      </c>
      <c r="L25" s="2" t="s">
        <v>2</v>
      </c>
      <c r="M25" s="2" t="s">
        <v>3</v>
      </c>
    </row>
    <row r="26" spans="1:13">
      <c r="A26" s="55" t="str">
        <f t="shared" ref="A26:A29" si="4">A25</f>
        <v>W1RF4-040</v>
      </c>
      <c r="B26" s="56" t="str">
        <f>IF(A26="","",VLOOKUP(A26,工位附件!D:E,2,FALSE))</f>
        <v>后地板4#</v>
      </c>
      <c r="C26" s="30" t="s">
        <v>446</v>
      </c>
      <c r="D26" s="30" t="s">
        <v>415</v>
      </c>
      <c r="E26" s="30">
        <v>1</v>
      </c>
      <c r="F26" s="60"/>
      <c r="G26" s="60"/>
      <c r="H26" s="31" t="s">
        <v>452</v>
      </c>
      <c r="I26" s="31" t="s">
        <v>456</v>
      </c>
      <c r="J26" s="31" t="s">
        <v>1</v>
      </c>
      <c r="K26" s="31" t="s">
        <v>1</v>
      </c>
      <c r="L26" s="2" t="s">
        <v>2</v>
      </c>
      <c r="M26" s="2" t="s">
        <v>3</v>
      </c>
    </row>
    <row r="27" spans="1:13">
      <c r="A27" s="55" t="str">
        <f t="shared" si="4"/>
        <v>W1RF4-040</v>
      </c>
      <c r="B27" s="56" t="str">
        <f>IF(A27="","",VLOOKUP(A27,工位附件!D:E,2,FALSE))</f>
        <v>后地板4#</v>
      </c>
      <c r="C27" s="30" t="s">
        <v>447</v>
      </c>
      <c r="D27" s="30" t="s">
        <v>448</v>
      </c>
      <c r="E27" s="30">
        <v>1</v>
      </c>
      <c r="F27" s="60"/>
      <c r="G27" s="60"/>
      <c r="H27" s="31" t="s">
        <v>453</v>
      </c>
      <c r="I27" s="31" t="s">
        <v>457</v>
      </c>
      <c r="J27" s="31" t="s">
        <v>1</v>
      </c>
      <c r="K27" s="31" t="s">
        <v>1</v>
      </c>
      <c r="L27" s="2" t="s">
        <v>2</v>
      </c>
      <c r="M27" s="2" t="s">
        <v>3</v>
      </c>
    </row>
    <row r="28" spans="1:13">
      <c r="A28" s="55" t="str">
        <f t="shared" si="4"/>
        <v>W1RF4-040</v>
      </c>
      <c r="B28" s="56" t="str">
        <f>IF(A28="","",VLOOKUP(A28,工位附件!D:E,2,FALSE))</f>
        <v>后地板4#</v>
      </c>
      <c r="C28" s="30" t="s">
        <v>450</v>
      </c>
      <c r="D28" s="30" t="s">
        <v>449</v>
      </c>
      <c r="E28" s="30">
        <v>1</v>
      </c>
      <c r="F28" s="60"/>
      <c r="G28" s="60"/>
      <c r="H28" s="31" t="s">
        <v>454</v>
      </c>
      <c r="I28" s="31" t="s">
        <v>456</v>
      </c>
      <c r="J28" s="31" t="s">
        <v>1</v>
      </c>
      <c r="K28" s="31" t="s">
        <v>1</v>
      </c>
      <c r="L28" s="2" t="s">
        <v>2</v>
      </c>
      <c r="M28" s="2" t="s">
        <v>3</v>
      </c>
    </row>
    <row r="29" spans="1:13">
      <c r="A29" s="55" t="str">
        <f t="shared" si="4"/>
        <v>W1RF4-040</v>
      </c>
      <c r="B29" s="56" t="str">
        <f>IF(A29="","",VLOOKUP(A29,工位附件!D:E,2,FALSE))</f>
        <v>后地板4#</v>
      </c>
      <c r="C29" s="30" t="s">
        <v>459</v>
      </c>
      <c r="D29" s="30" t="s">
        <v>460</v>
      </c>
      <c r="E29" s="30">
        <v>1</v>
      </c>
      <c r="F29" s="60"/>
      <c r="G29" s="60"/>
      <c r="H29" s="31"/>
      <c r="I29" s="31"/>
      <c r="J29" s="31"/>
      <c r="K29" s="31"/>
      <c r="L29" s="2"/>
      <c r="M29" s="2"/>
    </row>
    <row r="30" spans="1:13">
      <c r="A30" s="55" t="s">
        <v>57</v>
      </c>
      <c r="B30" s="56" t="str">
        <f>IF(A30="","",VLOOKUP(A30,工位附件!D:E,2,FALSE))</f>
        <v>后地板5#</v>
      </c>
      <c r="C30" s="30" t="s">
        <v>461</v>
      </c>
      <c r="D30" s="30" t="s">
        <v>458</v>
      </c>
      <c r="E30" s="30">
        <v>1</v>
      </c>
      <c r="F30" s="60">
        <v>43</v>
      </c>
      <c r="G30" s="60" t="s">
        <v>466</v>
      </c>
      <c r="H30" s="31" t="s">
        <v>467</v>
      </c>
      <c r="I30" s="31" t="s">
        <v>473</v>
      </c>
      <c r="J30" s="31" t="s">
        <v>1</v>
      </c>
      <c r="K30" s="31" t="s">
        <v>1</v>
      </c>
      <c r="L30" s="2" t="s">
        <v>2</v>
      </c>
      <c r="M30" s="2" t="s">
        <v>3</v>
      </c>
    </row>
    <row r="31" spans="1:13">
      <c r="A31" s="55" t="str">
        <f t="shared" ref="A31:A35" si="5">A30</f>
        <v>W1RF4-050</v>
      </c>
      <c r="B31" s="56" t="str">
        <f>IF(A31="","",VLOOKUP(A31,工位附件!D:E,2,FALSE))</f>
        <v>后地板5#</v>
      </c>
      <c r="C31" s="30" t="s">
        <v>463</v>
      </c>
      <c r="D31" s="30" t="s">
        <v>462</v>
      </c>
      <c r="E31" s="30">
        <v>1</v>
      </c>
      <c r="F31" s="60"/>
      <c r="G31" s="60"/>
      <c r="H31" s="31" t="s">
        <v>468</v>
      </c>
      <c r="I31" s="31" t="s">
        <v>474</v>
      </c>
      <c r="J31" s="31" t="s">
        <v>1</v>
      </c>
      <c r="K31" s="31" t="s">
        <v>1</v>
      </c>
      <c r="L31" s="2" t="s">
        <v>2</v>
      </c>
      <c r="M31" s="2" t="s">
        <v>3</v>
      </c>
    </row>
    <row r="32" spans="1:13">
      <c r="A32" s="55" t="str">
        <f t="shared" si="5"/>
        <v>W1RF4-050</v>
      </c>
      <c r="B32" s="56" t="str">
        <f>IF(A32="","",VLOOKUP(A32,工位附件!D:E,2,FALSE))</f>
        <v>后地板5#</v>
      </c>
      <c r="C32" s="30" t="s">
        <v>465</v>
      </c>
      <c r="D32" s="30" t="s">
        <v>464</v>
      </c>
      <c r="E32" s="30">
        <v>1</v>
      </c>
      <c r="F32" s="60"/>
      <c r="G32" s="60"/>
      <c r="H32" s="31" t="s">
        <v>469</v>
      </c>
      <c r="I32" s="31" t="s">
        <v>475</v>
      </c>
      <c r="J32" s="31" t="s">
        <v>1</v>
      </c>
      <c r="K32" s="31" t="s">
        <v>1</v>
      </c>
      <c r="L32" s="2" t="s">
        <v>2</v>
      </c>
      <c r="M32" s="2" t="s">
        <v>3</v>
      </c>
    </row>
    <row r="33" spans="1:13">
      <c r="A33" s="55" t="str">
        <f t="shared" si="5"/>
        <v>W1RF4-050</v>
      </c>
      <c r="B33" s="56" t="str">
        <f>IF(A33="","",VLOOKUP(A33,工位附件!D:E,2,FALSE))</f>
        <v>后地板5#</v>
      </c>
      <c r="C33" s="30"/>
      <c r="D33" s="30"/>
      <c r="E33" s="30"/>
      <c r="F33" s="60"/>
      <c r="G33" s="60"/>
      <c r="H33" s="31" t="s">
        <v>470</v>
      </c>
      <c r="I33" s="31" t="s">
        <v>473</v>
      </c>
      <c r="J33" s="31" t="s">
        <v>1</v>
      </c>
      <c r="K33" s="31" t="s">
        <v>1</v>
      </c>
      <c r="L33" s="2" t="s">
        <v>2</v>
      </c>
      <c r="M33" s="2" t="s">
        <v>3</v>
      </c>
    </row>
    <row r="34" spans="1:13">
      <c r="A34" s="55" t="str">
        <f t="shared" si="5"/>
        <v>W1RF4-050</v>
      </c>
      <c r="B34" s="56" t="str">
        <f>IF(A34="","",VLOOKUP(A34,工位附件!D:E,2,FALSE))</f>
        <v>后地板5#</v>
      </c>
      <c r="C34" s="30"/>
      <c r="D34" s="30"/>
      <c r="E34" s="30"/>
      <c r="F34" s="60"/>
      <c r="G34" s="60"/>
      <c r="H34" s="31" t="s">
        <v>471</v>
      </c>
      <c r="I34" s="31" t="s">
        <v>474</v>
      </c>
      <c r="J34" s="31" t="s">
        <v>1</v>
      </c>
      <c r="K34" s="31" t="s">
        <v>1</v>
      </c>
      <c r="L34" s="2" t="s">
        <v>2</v>
      </c>
      <c r="M34" s="2" t="s">
        <v>3</v>
      </c>
    </row>
    <row r="35" spans="1:13">
      <c r="A35" s="55" t="str">
        <f t="shared" si="5"/>
        <v>W1RF4-050</v>
      </c>
      <c r="B35" s="56" t="str">
        <f>IF(A35="","",VLOOKUP(A35,工位附件!D:E,2,FALSE))</f>
        <v>后地板5#</v>
      </c>
      <c r="C35" s="30"/>
      <c r="D35" s="30"/>
      <c r="E35" s="30"/>
      <c r="F35" s="60"/>
      <c r="G35" s="60"/>
      <c r="H35" s="31" t="s">
        <v>472</v>
      </c>
      <c r="I35" s="31" t="s">
        <v>437</v>
      </c>
      <c r="J35" s="31" t="s">
        <v>1</v>
      </c>
      <c r="K35" s="31" t="s">
        <v>1</v>
      </c>
      <c r="L35" s="2" t="s">
        <v>2</v>
      </c>
      <c r="M35" s="2" t="s">
        <v>3</v>
      </c>
    </row>
    <row r="36" spans="1:13">
      <c r="A36" s="55" t="s">
        <v>59</v>
      </c>
      <c r="B36" s="56" t="str">
        <f>IF(A36="","",VLOOKUP(A36,工位附件!D:E,2,FALSE))</f>
        <v>后地板6#</v>
      </c>
      <c r="C36" s="30" t="s">
        <v>476</v>
      </c>
      <c r="D36" s="30" t="s">
        <v>464</v>
      </c>
      <c r="E36" s="30">
        <v>1</v>
      </c>
      <c r="F36" s="60">
        <v>47</v>
      </c>
      <c r="G36" s="60" t="s">
        <v>479</v>
      </c>
      <c r="H36" s="31" t="s">
        <v>480</v>
      </c>
      <c r="I36" s="31" t="s">
        <v>484</v>
      </c>
      <c r="J36" s="31" t="s">
        <v>1</v>
      </c>
      <c r="K36" s="31" t="s">
        <v>1</v>
      </c>
      <c r="L36" s="2" t="s">
        <v>2</v>
      </c>
      <c r="M36" s="2" t="s">
        <v>3</v>
      </c>
    </row>
    <row r="37" spans="1:13">
      <c r="A37" s="55" t="str">
        <f t="shared" ref="A37:A39" si="6">A36</f>
        <v>W1RF4-060</v>
      </c>
      <c r="B37" s="56" t="str">
        <f>IF(A37="","",VLOOKUP(A37,工位附件!D:E,2,FALSE))</f>
        <v>后地板6#</v>
      </c>
      <c r="C37" s="30" t="s">
        <v>477</v>
      </c>
      <c r="D37" s="30" t="s">
        <v>478</v>
      </c>
      <c r="E37" s="30">
        <v>1</v>
      </c>
      <c r="F37" s="60"/>
      <c r="G37" s="60"/>
      <c r="H37" s="31" t="s">
        <v>481</v>
      </c>
      <c r="I37" s="31" t="s">
        <v>485</v>
      </c>
      <c r="J37" s="31" t="s">
        <v>1</v>
      </c>
      <c r="K37" s="31" t="s">
        <v>1</v>
      </c>
      <c r="L37" s="2" t="s">
        <v>2</v>
      </c>
      <c r="M37" s="2" t="s">
        <v>3</v>
      </c>
    </row>
    <row r="38" spans="1:13">
      <c r="A38" s="55" t="str">
        <f t="shared" si="6"/>
        <v>W1RF4-060</v>
      </c>
      <c r="B38" s="56" t="str">
        <f>IF(A38="","",VLOOKUP(A38,工位附件!D:E,2,FALSE))</f>
        <v>后地板6#</v>
      </c>
      <c r="C38" s="30"/>
      <c r="D38" s="30"/>
      <c r="E38" s="30"/>
      <c r="F38" s="60"/>
      <c r="G38" s="60"/>
      <c r="H38" s="31" t="s">
        <v>482</v>
      </c>
      <c r="I38" s="31" t="s">
        <v>484</v>
      </c>
      <c r="J38" s="31" t="s">
        <v>1</v>
      </c>
      <c r="K38" s="31" t="s">
        <v>1</v>
      </c>
      <c r="L38" s="2" t="s">
        <v>2</v>
      </c>
      <c r="M38" s="2" t="s">
        <v>3</v>
      </c>
    </row>
    <row r="39" spans="1:13">
      <c r="A39" s="55" t="str">
        <f t="shared" si="6"/>
        <v>W1RF4-060</v>
      </c>
      <c r="B39" s="56" t="str">
        <f>IF(A39="","",VLOOKUP(A39,工位附件!D:E,2,FALSE))</f>
        <v>后地板6#</v>
      </c>
      <c r="C39" s="30"/>
      <c r="D39" s="30"/>
      <c r="E39" s="30"/>
      <c r="F39" s="60"/>
      <c r="G39" s="60"/>
      <c r="H39" s="31" t="s">
        <v>483</v>
      </c>
      <c r="I39" s="31" t="s">
        <v>485</v>
      </c>
      <c r="J39" s="31" t="s">
        <v>1</v>
      </c>
      <c r="K39" s="31" t="s">
        <v>1</v>
      </c>
      <c r="L39" s="2" t="s">
        <v>2</v>
      </c>
      <c r="M39" s="2" t="s">
        <v>3</v>
      </c>
    </row>
    <row r="40" spans="1:13">
      <c r="A40" s="55" t="s">
        <v>61</v>
      </c>
      <c r="B40" s="56" t="str">
        <f>IF(A40="","",VLOOKUP(A40,工位附件!D:E,2,FALSE))</f>
        <v>后地板7#</v>
      </c>
      <c r="C40" s="30" t="s">
        <v>502</v>
      </c>
      <c r="D40" s="30" t="s">
        <v>486</v>
      </c>
      <c r="E40" s="30">
        <v>1</v>
      </c>
      <c r="F40" s="60">
        <v>42</v>
      </c>
      <c r="G40" s="60" t="s">
        <v>479</v>
      </c>
      <c r="H40" s="31" t="s">
        <v>488</v>
      </c>
      <c r="I40" s="31" t="s">
        <v>492</v>
      </c>
      <c r="J40" s="31" t="s">
        <v>1</v>
      </c>
      <c r="K40" s="31" t="s">
        <v>1</v>
      </c>
      <c r="L40" s="2" t="s">
        <v>2</v>
      </c>
      <c r="M40" s="2" t="s">
        <v>3</v>
      </c>
    </row>
    <row r="41" spans="1:13">
      <c r="A41" s="55" t="str">
        <f t="shared" ref="A41:A43" si="7">A40</f>
        <v>W1RF4-070</v>
      </c>
      <c r="B41" s="56" t="str">
        <f>IF(A41="","",VLOOKUP(A41,工位附件!D:E,2,FALSE))</f>
        <v>后地板7#</v>
      </c>
      <c r="C41" s="30"/>
      <c r="D41" s="30"/>
      <c r="E41" s="30"/>
      <c r="F41" s="60"/>
      <c r="G41" s="60"/>
      <c r="H41" s="31" t="s">
        <v>489</v>
      </c>
      <c r="I41" s="31" t="s">
        <v>474</v>
      </c>
      <c r="J41" s="31" t="s">
        <v>1</v>
      </c>
      <c r="K41" s="31" t="s">
        <v>1</v>
      </c>
      <c r="L41" s="2" t="s">
        <v>2</v>
      </c>
      <c r="M41" s="2" t="s">
        <v>3</v>
      </c>
    </row>
    <row r="42" spans="1:13">
      <c r="A42" s="55" t="str">
        <f t="shared" si="7"/>
        <v>W1RF4-070</v>
      </c>
      <c r="B42" s="56" t="str">
        <f>IF(A42="","",VLOOKUP(A42,工位附件!D:E,2,FALSE))</f>
        <v>后地板7#</v>
      </c>
      <c r="C42" s="30"/>
      <c r="D42" s="30"/>
      <c r="E42" s="30"/>
      <c r="F42" s="60"/>
      <c r="G42" s="60"/>
      <c r="H42" s="31" t="s">
        <v>490</v>
      </c>
      <c r="I42" s="31" t="s">
        <v>493</v>
      </c>
      <c r="J42" s="31" t="s">
        <v>1</v>
      </c>
      <c r="K42" s="31" t="s">
        <v>1</v>
      </c>
      <c r="L42" s="2" t="s">
        <v>2</v>
      </c>
      <c r="M42" s="2" t="s">
        <v>3</v>
      </c>
    </row>
    <row r="43" spans="1:13">
      <c r="A43" s="55" t="str">
        <f t="shared" si="7"/>
        <v>W1RF4-070</v>
      </c>
      <c r="B43" s="56" t="str">
        <f>IF(A43="","",VLOOKUP(A43,工位附件!D:E,2,FALSE))</f>
        <v>后地板7#</v>
      </c>
      <c r="C43" s="30"/>
      <c r="D43" s="30"/>
      <c r="E43" s="30"/>
      <c r="F43" s="60"/>
      <c r="G43" s="60"/>
      <c r="H43" s="31" t="s">
        <v>491</v>
      </c>
      <c r="I43" s="31" t="s">
        <v>494</v>
      </c>
      <c r="J43" s="31" t="s">
        <v>1</v>
      </c>
      <c r="K43" s="31" t="s">
        <v>1</v>
      </c>
      <c r="L43" s="2" t="s">
        <v>2</v>
      </c>
      <c r="M43" s="2" t="s">
        <v>3</v>
      </c>
    </row>
    <row r="44" spans="1:13">
      <c r="A44" s="55" t="s">
        <v>63</v>
      </c>
      <c r="B44" s="56" t="str">
        <f>IF(A44="","",VLOOKUP(A44,工位附件!D:E,2,FALSE))</f>
        <v>后地板8#</v>
      </c>
      <c r="C44" s="30" t="s">
        <v>487</v>
      </c>
      <c r="D44" s="30" t="s">
        <v>486</v>
      </c>
      <c r="E44" s="30">
        <v>1</v>
      </c>
      <c r="F44" s="60">
        <v>20</v>
      </c>
      <c r="G44" s="60" t="s">
        <v>479</v>
      </c>
      <c r="H44" s="31" t="s">
        <v>495</v>
      </c>
      <c r="I44" s="31" t="s">
        <v>499</v>
      </c>
      <c r="J44" s="31" t="s">
        <v>1</v>
      </c>
      <c r="K44" s="31" t="s">
        <v>1</v>
      </c>
      <c r="L44" s="2" t="s">
        <v>2</v>
      </c>
      <c r="M44" s="2" t="s">
        <v>3</v>
      </c>
    </row>
    <row r="45" spans="1:13">
      <c r="A45" s="55" t="str">
        <f t="shared" ref="A45:A48" si="8">A44</f>
        <v>W1RF4-080</v>
      </c>
      <c r="B45" s="56" t="str">
        <f>IF(A45="","",VLOOKUP(A45,工位附件!D:E,2,FALSE))</f>
        <v>后地板8#</v>
      </c>
      <c r="C45" s="30"/>
      <c r="D45" s="30"/>
      <c r="E45" s="30"/>
      <c r="F45" s="60"/>
      <c r="G45" s="60"/>
      <c r="H45" s="31" t="s">
        <v>496</v>
      </c>
      <c r="I45" s="31" t="s">
        <v>494</v>
      </c>
      <c r="J45" s="31" t="s">
        <v>1</v>
      </c>
      <c r="K45" s="31" t="s">
        <v>1</v>
      </c>
      <c r="L45" s="2" t="s">
        <v>2</v>
      </c>
      <c r="M45" s="2" t="s">
        <v>3</v>
      </c>
    </row>
    <row r="46" spans="1:13">
      <c r="A46" s="55" t="str">
        <f t="shared" si="8"/>
        <v>W1RF4-080</v>
      </c>
      <c r="B46" s="56" t="str">
        <f>IF(A46="","",VLOOKUP(A46,工位附件!D:E,2,FALSE))</f>
        <v>后地板8#</v>
      </c>
      <c r="C46" s="30"/>
      <c r="D46" s="30"/>
      <c r="E46" s="30"/>
      <c r="F46" s="60"/>
      <c r="G46" s="60"/>
      <c r="H46" s="31" t="s">
        <v>497</v>
      </c>
      <c r="I46" s="31" t="s">
        <v>492</v>
      </c>
      <c r="J46" s="31" t="s">
        <v>1</v>
      </c>
      <c r="K46" s="31" t="s">
        <v>1</v>
      </c>
      <c r="L46" s="2" t="s">
        <v>2</v>
      </c>
      <c r="M46" s="2" t="s">
        <v>3</v>
      </c>
    </row>
    <row r="47" spans="1:13">
      <c r="A47" s="55" t="str">
        <f t="shared" si="8"/>
        <v>W1RF4-080</v>
      </c>
      <c r="B47" s="56" t="str">
        <f>IF(A47="","",VLOOKUP(A47,工位附件!D:E,2,FALSE))</f>
        <v>后地板8#</v>
      </c>
      <c r="C47" s="30"/>
      <c r="D47" s="30"/>
      <c r="E47" s="30"/>
      <c r="F47" s="60"/>
      <c r="G47" s="60"/>
      <c r="H47" s="31" t="s">
        <v>498</v>
      </c>
      <c r="I47" s="31" t="s">
        <v>494</v>
      </c>
      <c r="J47" s="31" t="s">
        <v>1</v>
      </c>
      <c r="K47" s="31" t="s">
        <v>1</v>
      </c>
      <c r="L47" s="2" t="s">
        <v>2</v>
      </c>
      <c r="M47" s="2" t="s">
        <v>3</v>
      </c>
    </row>
    <row r="48" spans="1:13">
      <c r="A48" s="55" t="str">
        <f t="shared" si="8"/>
        <v>W1RF4-080</v>
      </c>
      <c r="B48" s="56" t="str">
        <f>IF(A48="","",VLOOKUP(A48,工位附件!D:E,2,FALSE))</f>
        <v>后地板8#</v>
      </c>
      <c r="C48" s="30"/>
      <c r="D48" s="30"/>
      <c r="E48" s="30"/>
      <c r="F48" s="60"/>
      <c r="G48" s="60"/>
      <c r="H48" s="31" t="s">
        <v>500</v>
      </c>
      <c r="I48" s="31" t="s">
        <v>501</v>
      </c>
      <c r="J48" s="31" t="s">
        <v>1</v>
      </c>
      <c r="K48" s="31" t="s">
        <v>1</v>
      </c>
      <c r="L48" s="2" t="s">
        <v>2</v>
      </c>
      <c r="M48" s="2" t="s">
        <v>3</v>
      </c>
    </row>
    <row r="49" spans="1:13">
      <c r="A49" s="55" t="s">
        <v>65</v>
      </c>
      <c r="B49" s="56" t="str">
        <f>IF(A49="","",VLOOKUP(A49,工位附件!D:E,2,FALSE))</f>
        <v>后地板9#</v>
      </c>
      <c r="C49" s="30" t="s">
        <v>487</v>
      </c>
      <c r="D49" s="30" t="s">
        <v>486</v>
      </c>
      <c r="E49" s="30">
        <v>1</v>
      </c>
      <c r="F49" s="60">
        <v>29</v>
      </c>
      <c r="G49" s="60" t="s">
        <v>1330</v>
      </c>
      <c r="H49" s="31" t="s">
        <v>503</v>
      </c>
      <c r="I49" s="31" t="s">
        <v>509</v>
      </c>
      <c r="J49" s="31" t="s">
        <v>1</v>
      </c>
      <c r="K49" s="31" t="s">
        <v>1</v>
      </c>
      <c r="L49" s="2" t="s">
        <v>2</v>
      </c>
      <c r="M49" s="2" t="s">
        <v>3</v>
      </c>
    </row>
    <row r="50" spans="1:13">
      <c r="A50" s="55" t="str">
        <f t="shared" ref="A50:A54" si="9">A49</f>
        <v>W1RF4-090</v>
      </c>
      <c r="B50" s="56" t="str">
        <f>IF(A50="","",VLOOKUP(A50,工位附件!D:E,2,FALSE))</f>
        <v>后地板9#</v>
      </c>
      <c r="C50" s="30"/>
      <c r="D50" s="30"/>
      <c r="E50" s="30"/>
      <c r="F50" s="60"/>
      <c r="G50" s="60"/>
      <c r="H50" s="31" t="s">
        <v>504</v>
      </c>
      <c r="I50" s="31" t="s">
        <v>510</v>
      </c>
      <c r="J50" s="31" t="s">
        <v>1</v>
      </c>
      <c r="K50" s="31" t="s">
        <v>1</v>
      </c>
      <c r="L50" s="2" t="s">
        <v>2</v>
      </c>
      <c r="M50" s="2" t="s">
        <v>3</v>
      </c>
    </row>
    <row r="51" spans="1:13">
      <c r="A51" s="55" t="str">
        <f t="shared" si="9"/>
        <v>W1RF4-090</v>
      </c>
      <c r="B51" s="56" t="str">
        <f>IF(A51="","",VLOOKUP(A51,工位附件!D:E,2,FALSE))</f>
        <v>后地板9#</v>
      </c>
      <c r="C51" s="30"/>
      <c r="D51" s="30"/>
      <c r="E51" s="30"/>
      <c r="F51" s="60"/>
      <c r="G51" s="60"/>
      <c r="H51" s="31" t="s">
        <v>505</v>
      </c>
      <c r="I51" s="31" t="s">
        <v>511</v>
      </c>
      <c r="J51" s="31" t="s">
        <v>1</v>
      </c>
      <c r="K51" s="31" t="s">
        <v>1</v>
      </c>
      <c r="L51" s="2" t="s">
        <v>2</v>
      </c>
      <c r="M51" s="2" t="s">
        <v>3</v>
      </c>
    </row>
    <row r="52" spans="1:13">
      <c r="A52" s="55" t="str">
        <f t="shared" si="9"/>
        <v>W1RF4-090</v>
      </c>
      <c r="B52" s="56" t="str">
        <f>IF(A52="","",VLOOKUP(A52,工位附件!D:E,2,FALSE))</f>
        <v>后地板9#</v>
      </c>
      <c r="C52" s="30"/>
      <c r="D52" s="30"/>
      <c r="E52" s="30"/>
      <c r="F52" s="60"/>
      <c r="G52" s="60"/>
      <c r="H52" s="31" t="s">
        <v>506</v>
      </c>
      <c r="I52" s="31" t="s">
        <v>512</v>
      </c>
      <c r="J52" s="31" t="s">
        <v>1</v>
      </c>
      <c r="K52" s="31" t="s">
        <v>1</v>
      </c>
      <c r="L52" s="2" t="s">
        <v>2</v>
      </c>
      <c r="M52" s="2" t="s">
        <v>3</v>
      </c>
    </row>
    <row r="53" spans="1:13">
      <c r="A53" s="55" t="str">
        <f t="shared" si="9"/>
        <v>W1RF4-090</v>
      </c>
      <c r="B53" s="56" t="str">
        <f>IF(A53="","",VLOOKUP(A53,工位附件!D:E,2,FALSE))</f>
        <v>后地板9#</v>
      </c>
      <c r="C53" s="30"/>
      <c r="D53" s="30"/>
      <c r="E53" s="30"/>
      <c r="F53" s="60"/>
      <c r="G53" s="60"/>
      <c r="H53" s="31" t="s">
        <v>507</v>
      </c>
      <c r="I53" s="31" t="s">
        <v>513</v>
      </c>
      <c r="J53" s="31" t="s">
        <v>1</v>
      </c>
      <c r="K53" s="31" t="s">
        <v>1</v>
      </c>
      <c r="L53" s="2" t="s">
        <v>2</v>
      </c>
      <c r="M53" s="2" t="s">
        <v>3</v>
      </c>
    </row>
    <row r="54" spans="1:13">
      <c r="A54" s="55" t="str">
        <f t="shared" si="9"/>
        <v>W1RF4-090</v>
      </c>
      <c r="B54" s="56" t="str">
        <f>IF(A54="","",VLOOKUP(A54,工位附件!D:E,2,FALSE))</f>
        <v>后地板9#</v>
      </c>
      <c r="C54" s="30"/>
      <c r="D54" s="30"/>
      <c r="E54" s="30"/>
      <c r="F54" s="60"/>
      <c r="G54" s="60"/>
      <c r="H54" s="31" t="s">
        <v>508</v>
      </c>
      <c r="I54" s="31" t="s">
        <v>511</v>
      </c>
      <c r="J54" s="31" t="s">
        <v>1</v>
      </c>
      <c r="K54" s="31" t="s">
        <v>1</v>
      </c>
      <c r="L54" s="2" t="s">
        <v>2</v>
      </c>
      <c r="M54" s="2" t="s">
        <v>3</v>
      </c>
    </row>
    <row r="55" spans="1:13">
      <c r="A55" s="55" t="s">
        <v>70</v>
      </c>
      <c r="B55" s="56" t="str">
        <f>IF(A55="","",VLOOKUP(A55,工位附件!D:E,2,FALSE))</f>
        <v>前纵梁右1#</v>
      </c>
      <c r="C55" s="30" t="s">
        <v>514</v>
      </c>
      <c r="D55" s="30" t="s">
        <v>515</v>
      </c>
      <c r="E55" s="30">
        <v>1</v>
      </c>
      <c r="F55" s="60">
        <v>34</v>
      </c>
      <c r="G55" s="60" t="s">
        <v>520</v>
      </c>
      <c r="H55" s="31" t="s">
        <v>521</v>
      </c>
      <c r="I55" s="31" t="s">
        <v>523</v>
      </c>
      <c r="J55" s="31" t="s">
        <v>395</v>
      </c>
      <c r="K55" s="31" t="s">
        <v>1</v>
      </c>
      <c r="L55" s="2" t="s">
        <v>2</v>
      </c>
      <c r="M55" s="2" t="s">
        <v>3</v>
      </c>
    </row>
    <row r="56" spans="1:13">
      <c r="A56" s="55" t="str">
        <f t="shared" ref="A56:A57" si="10">A55</f>
        <v>W1FU4-010R</v>
      </c>
      <c r="B56" s="56" t="str">
        <f>IF(A56="","",VLOOKUP(A56,工位附件!D:E,2,FALSE))</f>
        <v>前纵梁右1#</v>
      </c>
      <c r="C56" s="30" t="s">
        <v>517</v>
      </c>
      <c r="D56" s="30" t="s">
        <v>516</v>
      </c>
      <c r="E56" s="30">
        <v>1</v>
      </c>
      <c r="F56" s="60"/>
      <c r="G56" s="60"/>
      <c r="H56" s="31" t="s">
        <v>522</v>
      </c>
      <c r="I56" s="31" t="s">
        <v>524</v>
      </c>
      <c r="J56" s="31" t="s">
        <v>1</v>
      </c>
      <c r="K56" s="31" t="s">
        <v>1</v>
      </c>
      <c r="L56" s="2" t="s">
        <v>2</v>
      </c>
      <c r="M56" s="2" t="s">
        <v>3</v>
      </c>
    </row>
    <row r="57" spans="1:13">
      <c r="A57" s="55" t="str">
        <f t="shared" si="10"/>
        <v>W1FU4-010R</v>
      </c>
      <c r="B57" s="56" t="str">
        <f>IF(A57="","",VLOOKUP(A57,工位附件!D:E,2,FALSE))</f>
        <v>前纵梁右1#</v>
      </c>
      <c r="C57" s="30" t="s">
        <v>519</v>
      </c>
      <c r="D57" s="30" t="s">
        <v>518</v>
      </c>
      <c r="E57" s="30">
        <v>1</v>
      </c>
      <c r="F57" s="60"/>
      <c r="G57" s="60"/>
      <c r="H57" s="31"/>
      <c r="I57" s="31"/>
      <c r="J57" s="31"/>
      <c r="K57" s="31"/>
      <c r="L57" s="2"/>
      <c r="M57" s="2"/>
    </row>
    <row r="58" spans="1:13">
      <c r="A58" s="55" t="s">
        <v>72</v>
      </c>
      <c r="B58" s="56" t="str">
        <f>IF(A58="","",VLOOKUP(A58,工位附件!D:E,2,FALSE))</f>
        <v>前纵梁右2#</v>
      </c>
      <c r="C58" s="30" t="s">
        <v>525</v>
      </c>
      <c r="D58" s="30" t="s">
        <v>528</v>
      </c>
      <c r="E58" s="30">
        <v>1</v>
      </c>
      <c r="F58" s="64">
        <v>24</v>
      </c>
      <c r="G58" s="60" t="s">
        <v>520</v>
      </c>
      <c r="H58" s="31" t="s">
        <v>529</v>
      </c>
      <c r="I58" s="31" t="s">
        <v>530</v>
      </c>
      <c r="J58" s="31" t="s">
        <v>1</v>
      </c>
      <c r="K58" s="31" t="s">
        <v>1</v>
      </c>
      <c r="L58" s="2" t="s">
        <v>2</v>
      </c>
      <c r="M58" s="2" t="s">
        <v>3</v>
      </c>
    </row>
    <row r="59" spans="1:13">
      <c r="A59" s="55" t="str">
        <f>A58</f>
        <v>W1FU4-020R</v>
      </c>
      <c r="B59" s="56" t="str">
        <f>IF(A59="","",VLOOKUP(A59,工位附件!D:E,2,FALSE))</f>
        <v>前纵梁右2#</v>
      </c>
      <c r="C59" s="30" t="s">
        <v>526</v>
      </c>
      <c r="D59" s="30" t="s">
        <v>527</v>
      </c>
      <c r="E59" s="30">
        <v>1</v>
      </c>
      <c r="F59" s="64"/>
      <c r="G59" s="60"/>
      <c r="H59" s="31"/>
      <c r="I59" s="31"/>
      <c r="J59" s="31"/>
      <c r="K59" s="31"/>
      <c r="L59" s="2"/>
      <c r="M59" s="2"/>
    </row>
    <row r="60" spans="1:13">
      <c r="A60" s="55" t="s">
        <v>74</v>
      </c>
      <c r="B60" s="56" t="str">
        <f>IF(A60="","",VLOOKUP(A60,工位附件!D:E,2,FALSE))</f>
        <v>前纵梁右3#</v>
      </c>
      <c r="C60" s="30" t="s">
        <v>531</v>
      </c>
      <c r="D60" s="30" t="s">
        <v>532</v>
      </c>
      <c r="E60" s="30">
        <v>1</v>
      </c>
      <c r="F60" s="60">
        <v>8</v>
      </c>
      <c r="G60" s="60" t="s">
        <v>520</v>
      </c>
      <c r="H60" s="31" t="s">
        <v>535</v>
      </c>
      <c r="I60" s="31" t="s">
        <v>537</v>
      </c>
      <c r="J60" s="31" t="s">
        <v>1</v>
      </c>
      <c r="K60" s="31" t="s">
        <v>1</v>
      </c>
      <c r="L60" s="2" t="s">
        <v>2</v>
      </c>
      <c r="M60" s="2" t="s">
        <v>3</v>
      </c>
    </row>
    <row r="61" spans="1:13">
      <c r="A61" s="55" t="str">
        <f>A60</f>
        <v>W1FU4-030R</v>
      </c>
      <c r="B61" s="56" t="str">
        <f>IF(A61="","",VLOOKUP(A61,工位附件!D:E,2,FALSE))</f>
        <v>前纵梁右3#</v>
      </c>
      <c r="C61" s="30" t="s">
        <v>534</v>
      </c>
      <c r="D61" s="30" t="s">
        <v>533</v>
      </c>
      <c r="E61" s="30">
        <v>1</v>
      </c>
      <c r="F61" s="60"/>
      <c r="G61" s="60"/>
      <c r="H61" s="31" t="s">
        <v>536</v>
      </c>
      <c r="I61" s="31" t="s">
        <v>538</v>
      </c>
      <c r="J61" s="31" t="s">
        <v>395</v>
      </c>
      <c r="K61" s="31" t="s">
        <v>1</v>
      </c>
      <c r="L61" s="2" t="s">
        <v>2</v>
      </c>
      <c r="M61" s="2" t="s">
        <v>3</v>
      </c>
    </row>
    <row r="62" spans="1:13">
      <c r="A62" s="55" t="s">
        <v>76</v>
      </c>
      <c r="B62" s="56" t="str">
        <f>IF(A62="","",VLOOKUP(A62,工位附件!D:E,2,FALSE))</f>
        <v>前纵梁右4#</v>
      </c>
      <c r="C62" s="30" t="s">
        <v>539</v>
      </c>
      <c r="D62" s="30" t="s">
        <v>540</v>
      </c>
      <c r="E62" s="30">
        <v>1</v>
      </c>
      <c r="F62" s="64">
        <v>13</v>
      </c>
      <c r="G62" s="60" t="s">
        <v>520</v>
      </c>
      <c r="H62" s="31" t="s">
        <v>541</v>
      </c>
      <c r="I62" s="31" t="s">
        <v>542</v>
      </c>
      <c r="J62" s="31" t="s">
        <v>395</v>
      </c>
      <c r="K62" s="31" t="s">
        <v>1</v>
      </c>
      <c r="L62" s="2" t="s">
        <v>2</v>
      </c>
      <c r="M62" s="2" t="s">
        <v>3</v>
      </c>
    </row>
    <row r="63" spans="1:13">
      <c r="A63" s="55" t="str">
        <f>A62</f>
        <v>W1FU4-040R</v>
      </c>
      <c r="B63" s="56" t="str">
        <f>IF(A63="","",VLOOKUP(A63,工位附件!D:E,2,FALSE))</f>
        <v>前纵梁右4#</v>
      </c>
      <c r="C63" s="30"/>
      <c r="D63" s="30"/>
      <c r="E63" s="30"/>
      <c r="F63" s="64"/>
      <c r="G63" s="60"/>
      <c r="H63" s="31"/>
      <c r="I63" s="31"/>
      <c r="J63" s="31"/>
      <c r="K63" s="31"/>
      <c r="L63" s="2"/>
      <c r="M63" s="2"/>
    </row>
    <row r="64" spans="1:13">
      <c r="A64" s="55" t="s">
        <v>78</v>
      </c>
      <c r="B64" s="56" t="str">
        <f>IF(A64="","",VLOOKUP(A64,工位附件!D:E,2,FALSE))</f>
        <v>前纵梁左1#</v>
      </c>
      <c r="C64" s="30" t="s">
        <v>543</v>
      </c>
      <c r="D64" s="30" t="s">
        <v>544</v>
      </c>
      <c r="E64" s="30">
        <v>1</v>
      </c>
      <c r="F64" s="60">
        <v>33</v>
      </c>
      <c r="G64" s="60" t="s">
        <v>520</v>
      </c>
      <c r="H64" s="31" t="s">
        <v>549</v>
      </c>
      <c r="I64" s="31" t="s">
        <v>523</v>
      </c>
      <c r="J64" s="31" t="s">
        <v>395</v>
      </c>
      <c r="K64" s="31" t="s">
        <v>1</v>
      </c>
      <c r="L64" s="2" t="s">
        <v>2</v>
      </c>
      <c r="M64" s="2" t="s">
        <v>3</v>
      </c>
    </row>
    <row r="65" spans="1:13">
      <c r="A65" s="55" t="str">
        <f t="shared" ref="A65:A66" si="11">A64</f>
        <v>W1FU4-010L</v>
      </c>
      <c r="B65" s="56" t="str">
        <f>IF(A65="","",VLOOKUP(A65,工位附件!D:E,2,FALSE))</f>
        <v>前纵梁左1#</v>
      </c>
      <c r="C65" s="30" t="s">
        <v>545</v>
      </c>
      <c r="D65" s="30" t="s">
        <v>546</v>
      </c>
      <c r="E65" s="30">
        <v>1</v>
      </c>
      <c r="F65" s="60"/>
      <c r="G65" s="60"/>
      <c r="H65" s="31" t="s">
        <v>550</v>
      </c>
      <c r="I65" s="31" t="s">
        <v>524</v>
      </c>
      <c r="J65" s="31" t="s">
        <v>1</v>
      </c>
      <c r="K65" s="31" t="s">
        <v>1</v>
      </c>
      <c r="L65" s="2" t="s">
        <v>2</v>
      </c>
      <c r="M65" s="2" t="s">
        <v>3</v>
      </c>
    </row>
    <row r="66" spans="1:13">
      <c r="A66" s="55" t="str">
        <f t="shared" si="11"/>
        <v>W1FU4-010L</v>
      </c>
      <c r="B66" s="56" t="str">
        <f>IF(A66="","",VLOOKUP(A66,工位附件!D:E,2,FALSE))</f>
        <v>前纵梁左1#</v>
      </c>
      <c r="C66" s="30" t="s">
        <v>547</v>
      </c>
      <c r="D66" s="30" t="s">
        <v>548</v>
      </c>
      <c r="E66" s="30">
        <v>1</v>
      </c>
      <c r="F66" s="60"/>
      <c r="G66" s="60"/>
      <c r="H66" s="31"/>
      <c r="I66" s="31"/>
      <c r="J66" s="31"/>
      <c r="K66" s="31"/>
      <c r="L66" s="2"/>
      <c r="M66" s="2"/>
    </row>
    <row r="67" spans="1:13">
      <c r="A67" s="55" t="s">
        <v>80</v>
      </c>
      <c r="B67" s="56" t="str">
        <f>IF(A67="","",VLOOKUP(A67,工位附件!D:E,2,FALSE))</f>
        <v>前纵梁左2#</v>
      </c>
      <c r="C67" s="30" t="s">
        <v>525</v>
      </c>
      <c r="D67" s="30" t="s">
        <v>528</v>
      </c>
      <c r="E67" s="30">
        <v>1</v>
      </c>
      <c r="F67" s="64">
        <v>24</v>
      </c>
      <c r="G67" s="60" t="s">
        <v>520</v>
      </c>
      <c r="H67" s="31" t="s">
        <v>553</v>
      </c>
      <c r="I67" s="31" t="s">
        <v>530</v>
      </c>
      <c r="J67" s="31" t="s">
        <v>1</v>
      </c>
      <c r="K67" s="31" t="s">
        <v>1</v>
      </c>
      <c r="L67" s="2" t="s">
        <v>2</v>
      </c>
      <c r="M67" s="2" t="s">
        <v>3</v>
      </c>
    </row>
    <row r="68" spans="1:13">
      <c r="A68" s="55" t="str">
        <f>A67</f>
        <v>W1FU4-020L</v>
      </c>
      <c r="B68" s="56" t="str">
        <f>IF(A68="","",VLOOKUP(A68,工位附件!D:E,2,FALSE))</f>
        <v>前纵梁左2#</v>
      </c>
      <c r="C68" s="30" t="s">
        <v>551</v>
      </c>
      <c r="D68" s="30" t="s">
        <v>552</v>
      </c>
      <c r="E68" s="30">
        <v>1</v>
      </c>
      <c r="F68" s="64"/>
      <c r="G68" s="60"/>
      <c r="H68" s="31"/>
      <c r="I68" s="31"/>
      <c r="J68" s="31"/>
      <c r="K68" s="31"/>
      <c r="L68" s="2"/>
      <c r="M68" s="2"/>
    </row>
    <row r="69" spans="1:13">
      <c r="A69" s="55" t="s">
        <v>82</v>
      </c>
      <c r="B69" s="56" t="str">
        <f>IF(A69="","",VLOOKUP(A69,工位附件!D:E,2,FALSE))</f>
        <v>前纵梁左3#</v>
      </c>
      <c r="C69" s="30" t="s">
        <v>554</v>
      </c>
      <c r="D69" s="30" t="s">
        <v>555</v>
      </c>
      <c r="E69" s="30">
        <v>1</v>
      </c>
      <c r="F69" s="60">
        <v>8</v>
      </c>
      <c r="G69" s="60" t="s">
        <v>520</v>
      </c>
      <c r="H69" s="31" t="s">
        <v>558</v>
      </c>
      <c r="I69" s="31" t="s">
        <v>537</v>
      </c>
      <c r="J69" s="31" t="s">
        <v>1</v>
      </c>
      <c r="K69" s="31" t="s">
        <v>1</v>
      </c>
      <c r="L69" s="2" t="s">
        <v>2</v>
      </c>
      <c r="M69" s="2" t="s">
        <v>3</v>
      </c>
    </row>
    <row r="70" spans="1:13">
      <c r="A70" s="55" t="str">
        <f>A69</f>
        <v>W1FU4-030L</v>
      </c>
      <c r="B70" s="56" t="str">
        <f>IF(A70="","",VLOOKUP(A70,工位附件!D:E,2,FALSE))</f>
        <v>前纵梁左3#</v>
      </c>
      <c r="C70" s="30" t="s">
        <v>556</v>
      </c>
      <c r="D70" s="30" t="s">
        <v>557</v>
      </c>
      <c r="E70" s="30">
        <v>1</v>
      </c>
      <c r="F70" s="60"/>
      <c r="G70" s="60"/>
      <c r="H70" s="31" t="s">
        <v>559</v>
      </c>
      <c r="I70" s="31" t="s">
        <v>538</v>
      </c>
      <c r="J70" s="31" t="s">
        <v>395</v>
      </c>
      <c r="K70" s="31" t="s">
        <v>1</v>
      </c>
      <c r="L70" s="2" t="s">
        <v>2</v>
      </c>
      <c r="M70" s="2" t="s">
        <v>3</v>
      </c>
    </row>
    <row r="71" spans="1:13">
      <c r="A71" s="55" t="s">
        <v>84</v>
      </c>
      <c r="B71" s="56" t="str">
        <f>IF(A71="","",VLOOKUP(A71,工位附件!D:E,2,FALSE))</f>
        <v>前纵梁左4#</v>
      </c>
      <c r="C71" s="30" t="s">
        <v>560</v>
      </c>
      <c r="D71" s="30" t="s">
        <v>561</v>
      </c>
      <c r="E71" s="30">
        <v>1</v>
      </c>
      <c r="F71" s="64">
        <v>12</v>
      </c>
      <c r="G71" s="60" t="s">
        <v>520</v>
      </c>
      <c r="H71" s="31" t="s">
        <v>562</v>
      </c>
      <c r="I71" s="31" t="s">
        <v>542</v>
      </c>
      <c r="J71" s="31" t="s">
        <v>395</v>
      </c>
      <c r="K71" s="31" t="s">
        <v>1</v>
      </c>
      <c r="L71" s="2" t="s">
        <v>2</v>
      </c>
      <c r="M71" s="2" t="s">
        <v>3</v>
      </c>
    </row>
    <row r="72" spans="1:13">
      <c r="A72" s="55" t="str">
        <f>A71</f>
        <v>W1FU4-040L</v>
      </c>
      <c r="B72" s="56" t="str">
        <f>IF(A72="","",VLOOKUP(A72,工位附件!D:E,2,FALSE))</f>
        <v>前纵梁左4#</v>
      </c>
      <c r="C72" s="30"/>
      <c r="D72" s="30"/>
      <c r="E72" s="30"/>
      <c r="F72" s="64"/>
      <c r="G72" s="60"/>
      <c r="H72" s="31"/>
      <c r="I72" s="31"/>
      <c r="J72" s="31"/>
      <c r="K72" s="31"/>
      <c r="L72" s="2"/>
      <c r="M72" s="2"/>
    </row>
    <row r="73" spans="1:13">
      <c r="A73" s="55" t="s">
        <v>24</v>
      </c>
      <c r="B73" s="56" t="str">
        <f>IF(A73="","",VLOOKUP(A73,工位附件!D:E,2,FALSE))</f>
        <v>前围板1#</v>
      </c>
      <c r="C73" s="30" t="s">
        <v>564</v>
      </c>
      <c r="D73" s="30" t="s">
        <v>563</v>
      </c>
      <c r="E73" s="30">
        <v>1</v>
      </c>
      <c r="F73" s="60">
        <v>26</v>
      </c>
      <c r="G73" s="60" t="s">
        <v>520</v>
      </c>
      <c r="H73" s="31" t="s">
        <v>575</v>
      </c>
      <c r="I73" s="31" t="s">
        <v>578</v>
      </c>
      <c r="J73" s="31" t="s">
        <v>1</v>
      </c>
      <c r="K73" s="31" t="s">
        <v>1</v>
      </c>
      <c r="L73" s="2" t="s">
        <v>2</v>
      </c>
      <c r="M73" s="2" t="s">
        <v>3</v>
      </c>
    </row>
    <row r="74" spans="1:13">
      <c r="A74" s="55" t="str">
        <f t="shared" ref="A74:A78" si="12">A73</f>
        <v>W1DA4-010</v>
      </c>
      <c r="B74" s="56" t="str">
        <f>IF(A74="","",VLOOKUP(A74,工位附件!D:E,2,FALSE))</f>
        <v>前围板1#</v>
      </c>
      <c r="C74" s="30" t="s">
        <v>565</v>
      </c>
      <c r="D74" s="30" t="s">
        <v>566</v>
      </c>
      <c r="E74" s="30">
        <v>1</v>
      </c>
      <c r="F74" s="60"/>
      <c r="G74" s="60"/>
      <c r="H74" s="31" t="s">
        <v>576</v>
      </c>
      <c r="I74" s="31" t="s">
        <v>580</v>
      </c>
      <c r="J74" s="31" t="s">
        <v>1</v>
      </c>
      <c r="K74" s="31" t="s">
        <v>1</v>
      </c>
      <c r="L74" s="2" t="s">
        <v>2</v>
      </c>
      <c r="M74" s="2" t="s">
        <v>3</v>
      </c>
    </row>
    <row r="75" spans="1:13" ht="28.8">
      <c r="A75" s="55" t="str">
        <f t="shared" si="12"/>
        <v>W1DA4-010</v>
      </c>
      <c r="B75" s="56" t="str">
        <f>IF(A75="","",VLOOKUP(A75,工位附件!D:E,2,FALSE))</f>
        <v>前围板1#</v>
      </c>
      <c r="C75" s="30" t="s">
        <v>567</v>
      </c>
      <c r="D75" s="30" t="s">
        <v>587</v>
      </c>
      <c r="E75" s="30">
        <v>1</v>
      </c>
      <c r="F75" s="60"/>
      <c r="G75" s="60"/>
      <c r="H75" s="31" t="s">
        <v>577</v>
      </c>
      <c r="I75" s="31" t="s">
        <v>579</v>
      </c>
      <c r="J75" s="31" t="s">
        <v>1</v>
      </c>
      <c r="K75" s="31" t="s">
        <v>1</v>
      </c>
      <c r="L75" s="2" t="s">
        <v>2</v>
      </c>
      <c r="M75" s="2" t="s">
        <v>3</v>
      </c>
    </row>
    <row r="76" spans="1:13">
      <c r="A76" s="55" t="str">
        <f t="shared" si="12"/>
        <v>W1DA4-010</v>
      </c>
      <c r="B76" s="56" t="str">
        <f>IF(A76="","",VLOOKUP(A76,工位附件!D:E,2,FALSE))</f>
        <v>前围板1#</v>
      </c>
      <c r="C76" s="30" t="s">
        <v>570</v>
      </c>
      <c r="D76" s="30" t="s">
        <v>569</v>
      </c>
      <c r="E76" s="30">
        <v>1</v>
      </c>
      <c r="F76" s="60"/>
      <c r="G76" s="60"/>
      <c r="H76" s="31"/>
      <c r="I76" s="31"/>
      <c r="J76" s="31"/>
      <c r="K76" s="31"/>
      <c r="L76" s="2"/>
      <c r="M76" s="2"/>
    </row>
    <row r="77" spans="1:13">
      <c r="A77" s="55" t="str">
        <f t="shared" si="12"/>
        <v>W1DA4-010</v>
      </c>
      <c r="B77" s="56" t="str">
        <f>IF(A77="","",VLOOKUP(A77,工位附件!D:E,2,FALSE))</f>
        <v>前围板1#</v>
      </c>
      <c r="C77" s="30" t="s">
        <v>571</v>
      </c>
      <c r="D77" s="30" t="s">
        <v>572</v>
      </c>
      <c r="E77" s="30">
        <v>1</v>
      </c>
      <c r="F77" s="60"/>
      <c r="G77" s="60"/>
      <c r="H77" s="31"/>
      <c r="I77" s="31"/>
      <c r="J77" s="31"/>
      <c r="K77" s="31"/>
      <c r="L77" s="2"/>
      <c r="M77" s="2"/>
    </row>
    <row r="78" spans="1:13">
      <c r="A78" s="55" t="str">
        <f t="shared" si="12"/>
        <v>W1DA4-010</v>
      </c>
      <c r="B78" s="56" t="str">
        <f>IF(A78="","",VLOOKUP(A78,工位附件!D:E,2,FALSE))</f>
        <v>前围板1#</v>
      </c>
      <c r="C78" s="30" t="s">
        <v>573</v>
      </c>
      <c r="D78" s="30" t="s">
        <v>574</v>
      </c>
      <c r="E78" s="30">
        <v>1</v>
      </c>
      <c r="F78" s="60"/>
      <c r="G78" s="60"/>
      <c r="H78" s="31"/>
      <c r="I78" s="31"/>
      <c r="J78" s="31"/>
      <c r="K78" s="31"/>
      <c r="L78" s="2"/>
      <c r="M78" s="2"/>
    </row>
    <row r="79" spans="1:13">
      <c r="A79" s="55" t="s">
        <v>26</v>
      </c>
      <c r="B79" s="56" t="str">
        <f>IF(A79="","",VLOOKUP(A79,工位附件!D:E,2,FALSE))</f>
        <v>前围板2#</v>
      </c>
      <c r="C79" s="30" t="s">
        <v>582</v>
      </c>
      <c r="D79" s="30" t="s">
        <v>581</v>
      </c>
      <c r="E79" s="30">
        <v>1</v>
      </c>
      <c r="F79" s="60">
        <v>32</v>
      </c>
      <c r="G79" s="60" t="s">
        <v>520</v>
      </c>
      <c r="H79" s="31" t="s">
        <v>590</v>
      </c>
      <c r="I79" s="31" t="s">
        <v>579</v>
      </c>
      <c r="J79" s="31" t="s">
        <v>1</v>
      </c>
      <c r="K79" s="31" t="s">
        <v>1</v>
      </c>
      <c r="L79" s="2" t="s">
        <v>2</v>
      </c>
      <c r="M79" s="2" t="s">
        <v>3</v>
      </c>
    </row>
    <row r="80" spans="1:13">
      <c r="A80" s="55" t="str">
        <f t="shared" ref="A80:A82" si="13">A79</f>
        <v>W1DA4-020</v>
      </c>
      <c r="B80" s="56" t="str">
        <f>IF(A80="","",VLOOKUP(A80,工位附件!D:E,2,FALSE))</f>
        <v>前围板2#</v>
      </c>
      <c r="C80" s="30" t="s">
        <v>583</v>
      </c>
      <c r="D80" s="30" t="s">
        <v>584</v>
      </c>
      <c r="E80" s="30">
        <v>1</v>
      </c>
      <c r="F80" s="60"/>
      <c r="G80" s="60"/>
      <c r="H80" s="31" t="s">
        <v>591</v>
      </c>
      <c r="I80" s="31" t="s">
        <v>593</v>
      </c>
      <c r="J80" s="31" t="s">
        <v>1</v>
      </c>
      <c r="K80" s="31" t="s">
        <v>1</v>
      </c>
      <c r="L80" s="2" t="s">
        <v>2</v>
      </c>
      <c r="M80" s="2" t="s">
        <v>3</v>
      </c>
    </row>
    <row r="81" spans="1:13" ht="28.8">
      <c r="A81" s="55" t="str">
        <f t="shared" si="13"/>
        <v>W1DA4-020</v>
      </c>
      <c r="B81" s="56" t="str">
        <f>IF(A81="","",VLOOKUP(A81,工位附件!D:E,2,FALSE))</f>
        <v>前围板2#</v>
      </c>
      <c r="C81" s="30" t="s">
        <v>585</v>
      </c>
      <c r="D81" s="30" t="s">
        <v>586</v>
      </c>
      <c r="E81" s="30">
        <v>1</v>
      </c>
      <c r="F81" s="60"/>
      <c r="G81" s="60"/>
      <c r="H81" s="31" t="s">
        <v>592</v>
      </c>
      <c r="I81" s="31" t="s">
        <v>594</v>
      </c>
      <c r="J81" s="31" t="s">
        <v>1</v>
      </c>
      <c r="K81" s="31" t="s">
        <v>1</v>
      </c>
      <c r="L81" s="2" t="s">
        <v>2</v>
      </c>
      <c r="M81" s="2" t="s">
        <v>3</v>
      </c>
    </row>
    <row r="82" spans="1:13" ht="28.8">
      <c r="A82" s="55" t="str">
        <f t="shared" si="13"/>
        <v>W1DA4-020</v>
      </c>
      <c r="B82" s="56" t="str">
        <f>IF(A82="","",VLOOKUP(A82,工位附件!D:E,2,FALSE))</f>
        <v>前围板2#</v>
      </c>
      <c r="C82" s="30" t="s">
        <v>588</v>
      </c>
      <c r="D82" s="30" t="s">
        <v>589</v>
      </c>
      <c r="E82" s="30">
        <v>1</v>
      </c>
      <c r="F82" s="60"/>
      <c r="G82" s="60"/>
      <c r="H82" s="31"/>
      <c r="I82" s="31"/>
      <c r="J82" s="31"/>
      <c r="K82" s="31"/>
      <c r="L82" s="2"/>
      <c r="M82" s="2"/>
    </row>
    <row r="83" spans="1:13">
      <c r="A83" s="55" t="s">
        <v>28</v>
      </c>
      <c r="B83" s="56" t="str">
        <f>IF(A83="","",VLOOKUP(A83,工位附件!D:E,2,FALSE))</f>
        <v>前围板3#</v>
      </c>
      <c r="C83" s="30" t="s">
        <v>595</v>
      </c>
      <c r="D83" s="30" t="s">
        <v>596</v>
      </c>
      <c r="E83" s="30">
        <v>1</v>
      </c>
      <c r="F83" s="60">
        <v>15</v>
      </c>
      <c r="G83" s="60" t="s">
        <v>520</v>
      </c>
      <c r="H83" s="31" t="s">
        <v>599</v>
      </c>
      <c r="I83" s="31" t="s">
        <v>601</v>
      </c>
      <c r="J83" s="31" t="s">
        <v>1</v>
      </c>
      <c r="K83" s="31" t="s">
        <v>1</v>
      </c>
      <c r="L83" s="2" t="s">
        <v>2</v>
      </c>
      <c r="M83" s="2" t="s">
        <v>3</v>
      </c>
    </row>
    <row r="84" spans="1:13">
      <c r="A84" s="55" t="str">
        <f>A83</f>
        <v>W1DA4-030</v>
      </c>
      <c r="B84" s="56" t="str">
        <f>IF(A84="","",VLOOKUP(A84,工位附件!D:E,2,FALSE))</f>
        <v>前围板3#</v>
      </c>
      <c r="C84" s="30" t="s">
        <v>597</v>
      </c>
      <c r="D84" s="30" t="s">
        <v>598</v>
      </c>
      <c r="E84" s="30">
        <v>1</v>
      </c>
      <c r="F84" s="60"/>
      <c r="G84" s="60"/>
      <c r="H84" s="31" t="s">
        <v>600</v>
      </c>
      <c r="I84" s="31" t="s">
        <v>601</v>
      </c>
      <c r="J84" s="31" t="s">
        <v>1</v>
      </c>
      <c r="K84" s="31" t="s">
        <v>1</v>
      </c>
      <c r="L84" s="2" t="s">
        <v>2</v>
      </c>
      <c r="M84" s="2" t="s">
        <v>3</v>
      </c>
    </row>
    <row r="85" spans="1:13">
      <c r="A85" s="55" t="s">
        <v>30</v>
      </c>
      <c r="B85" s="56" t="str">
        <f>IF(A85="","",VLOOKUP(A85,工位附件!D:E,2,FALSE))</f>
        <v>前围板4#</v>
      </c>
      <c r="C85" s="30" t="s">
        <v>602</v>
      </c>
      <c r="D85" s="30" t="s">
        <v>603</v>
      </c>
      <c r="E85" s="30">
        <v>1</v>
      </c>
      <c r="F85" s="60">
        <v>20</v>
      </c>
      <c r="G85" s="60" t="s">
        <v>520</v>
      </c>
      <c r="H85" s="31" t="s">
        <v>604</v>
      </c>
      <c r="I85" s="31" t="s">
        <v>606</v>
      </c>
      <c r="J85" s="31" t="s">
        <v>395</v>
      </c>
      <c r="K85" s="31" t="s">
        <v>1</v>
      </c>
      <c r="L85" s="2" t="s">
        <v>2</v>
      </c>
      <c r="M85" s="2" t="s">
        <v>3</v>
      </c>
    </row>
    <row r="86" spans="1:13">
      <c r="A86" s="55" t="str">
        <f>A85</f>
        <v>W1DA4-040</v>
      </c>
      <c r="B86" s="56" t="str">
        <f>IF(A86="","",VLOOKUP(A86,工位附件!D:E,2,FALSE))</f>
        <v>前围板4#</v>
      </c>
      <c r="C86" s="30"/>
      <c r="D86" s="30"/>
      <c r="E86" s="30"/>
      <c r="F86" s="60"/>
      <c r="G86" s="60"/>
      <c r="H86" s="31" t="s">
        <v>605</v>
      </c>
      <c r="I86" s="31" t="s">
        <v>443</v>
      </c>
      <c r="J86" s="31" t="s">
        <v>1</v>
      </c>
      <c r="K86" s="31" t="s">
        <v>1</v>
      </c>
      <c r="L86" s="2" t="s">
        <v>2</v>
      </c>
      <c r="M86" s="2" t="s">
        <v>3</v>
      </c>
    </row>
    <row r="87" spans="1:13">
      <c r="A87" s="55" t="s">
        <v>32</v>
      </c>
      <c r="B87" s="56" t="str">
        <f>IF(A87="","",VLOOKUP(A87,工位附件!D:E,2,FALSE))</f>
        <v>前围板5#</v>
      </c>
      <c r="C87" s="30" t="s">
        <v>607</v>
      </c>
      <c r="D87" s="30" t="s">
        <v>608</v>
      </c>
      <c r="E87" s="30">
        <v>1</v>
      </c>
      <c r="F87" s="60">
        <v>14</v>
      </c>
      <c r="G87" s="60" t="s">
        <v>520</v>
      </c>
      <c r="H87" s="31" t="s">
        <v>613</v>
      </c>
      <c r="I87" s="31" t="s">
        <v>615</v>
      </c>
      <c r="J87" s="31" t="s">
        <v>395</v>
      </c>
      <c r="K87" s="31" t="s">
        <v>1</v>
      </c>
      <c r="L87" s="2" t="s">
        <v>2</v>
      </c>
      <c r="M87" s="2" t="s">
        <v>3</v>
      </c>
    </row>
    <row r="88" spans="1:13">
      <c r="A88" s="55" t="str">
        <f t="shared" ref="A88:A90" si="14">A87</f>
        <v>W1DA4-050</v>
      </c>
      <c r="B88" s="56" t="str">
        <f>IF(A88="","",VLOOKUP(A88,工位附件!D:E,2,FALSE))</f>
        <v>前围板5#</v>
      </c>
      <c r="C88" s="30" t="s">
        <v>609</v>
      </c>
      <c r="D88" s="30" t="s">
        <v>610</v>
      </c>
      <c r="E88" s="30">
        <v>1</v>
      </c>
      <c r="F88" s="60"/>
      <c r="G88" s="60"/>
      <c r="H88" s="31" t="s">
        <v>614</v>
      </c>
      <c r="I88" s="31" t="s">
        <v>616</v>
      </c>
      <c r="J88" s="31" t="s">
        <v>1</v>
      </c>
      <c r="K88" s="31" t="s">
        <v>1</v>
      </c>
      <c r="L88" s="2" t="s">
        <v>2</v>
      </c>
      <c r="M88" s="2" t="s">
        <v>3</v>
      </c>
    </row>
    <row r="89" spans="1:13">
      <c r="A89" s="55" t="str">
        <f t="shared" si="14"/>
        <v>W1DA4-050</v>
      </c>
      <c r="B89" s="56" t="str">
        <f>IF(A89="","",VLOOKUP(A89,工位附件!D:E,2,FALSE))</f>
        <v>前围板5#</v>
      </c>
      <c r="C89" s="30" t="s">
        <v>611</v>
      </c>
      <c r="D89" s="30" t="s">
        <v>612</v>
      </c>
      <c r="E89" s="30">
        <v>1</v>
      </c>
      <c r="F89" s="60"/>
      <c r="G89" s="60"/>
      <c r="H89" s="31"/>
      <c r="I89" s="31"/>
      <c r="J89" s="31"/>
      <c r="K89" s="31"/>
      <c r="L89" s="2"/>
      <c r="M89" s="2"/>
    </row>
    <row r="90" spans="1:13">
      <c r="A90" s="55" t="str">
        <f t="shared" si="14"/>
        <v>W1DA4-050</v>
      </c>
      <c r="B90" s="56" t="str">
        <f>IF(A90="","",VLOOKUP(A90,工位附件!D:E,2,FALSE))</f>
        <v>前围板5#</v>
      </c>
      <c r="C90" s="30" t="s">
        <v>595</v>
      </c>
      <c r="D90" s="30" t="s">
        <v>596</v>
      </c>
      <c r="E90" s="30">
        <v>1</v>
      </c>
      <c r="F90" s="60"/>
      <c r="G90" s="60"/>
      <c r="H90" s="31"/>
      <c r="I90" s="31"/>
      <c r="J90" s="31"/>
      <c r="K90" s="31"/>
      <c r="L90" s="2"/>
      <c r="M90" s="2"/>
    </row>
    <row r="91" spans="1:13">
      <c r="A91" s="55" t="s">
        <v>34</v>
      </c>
      <c r="B91" s="56" t="str">
        <f>IF(A91="","",VLOOKUP(A91,工位附件!D:E,2,FALSE))</f>
        <v>前围板6#</v>
      </c>
      <c r="C91" s="30" t="s">
        <v>602</v>
      </c>
      <c r="D91" s="30" t="s">
        <v>568</v>
      </c>
      <c r="E91" s="30">
        <v>1</v>
      </c>
      <c r="F91" s="64">
        <v>1</v>
      </c>
      <c r="G91" s="60" t="s">
        <v>4</v>
      </c>
      <c r="H91" s="31" t="s">
        <v>617</v>
      </c>
      <c r="I91" s="31" t="s">
        <v>618</v>
      </c>
      <c r="J91" s="31" t="s">
        <v>395</v>
      </c>
      <c r="K91" s="31" t="s">
        <v>1</v>
      </c>
      <c r="L91" s="2" t="s">
        <v>2</v>
      </c>
      <c r="M91" s="2" t="s">
        <v>3</v>
      </c>
    </row>
    <row r="92" spans="1:13">
      <c r="A92" s="55" t="str">
        <f>A91</f>
        <v>W1DA4-060</v>
      </c>
      <c r="B92" s="56" t="str">
        <f>IF(A92="","",VLOOKUP(A92,工位附件!D:E,2,FALSE))</f>
        <v>前围板6#</v>
      </c>
      <c r="C92" s="30"/>
      <c r="D92" s="30"/>
      <c r="E92" s="30"/>
      <c r="F92" s="64"/>
      <c r="G92" s="60"/>
      <c r="H92" s="31"/>
      <c r="I92" s="31"/>
      <c r="J92" s="31"/>
      <c r="K92" s="31"/>
      <c r="L92" s="2"/>
      <c r="M92" s="2"/>
    </row>
    <row r="93" spans="1:13">
      <c r="A93" s="55" t="s">
        <v>36</v>
      </c>
      <c r="B93" s="56" t="str">
        <f>IF(A93="","",VLOOKUP(A93,工位附件!D:E,2,FALSE))</f>
        <v>空气室1#</v>
      </c>
      <c r="C93" s="30" t="s">
        <v>619</v>
      </c>
      <c r="D93" s="30" t="s">
        <v>620</v>
      </c>
      <c r="E93" s="30">
        <v>1</v>
      </c>
      <c r="F93" s="60">
        <v>14</v>
      </c>
      <c r="G93" s="60" t="s">
        <v>4</v>
      </c>
      <c r="H93" s="31" t="s">
        <v>623</v>
      </c>
      <c r="I93" s="31" t="s">
        <v>625</v>
      </c>
      <c r="J93" s="31" t="s">
        <v>395</v>
      </c>
      <c r="K93" s="31" t="s">
        <v>1</v>
      </c>
      <c r="L93" s="2" t="s">
        <v>2</v>
      </c>
      <c r="M93" s="2" t="s">
        <v>3</v>
      </c>
    </row>
    <row r="94" spans="1:13">
      <c r="A94" s="55" t="str">
        <f>A93</f>
        <v>W1HP4-010</v>
      </c>
      <c r="B94" s="56" t="str">
        <f>IF(A94="","",VLOOKUP(A94,工位附件!D:E,2,FALSE))</f>
        <v>空气室1#</v>
      </c>
      <c r="C94" s="30" t="s">
        <v>621</v>
      </c>
      <c r="D94" s="30" t="s">
        <v>622</v>
      </c>
      <c r="E94" s="30">
        <v>1</v>
      </c>
      <c r="F94" s="60"/>
      <c r="G94" s="60"/>
      <c r="H94" s="31" t="s">
        <v>624</v>
      </c>
      <c r="I94" s="31" t="s">
        <v>626</v>
      </c>
      <c r="J94" s="31" t="s">
        <v>395</v>
      </c>
      <c r="K94" s="31" t="s">
        <v>1</v>
      </c>
      <c r="L94" s="2" t="s">
        <v>2</v>
      </c>
      <c r="M94" s="2" t="s">
        <v>3</v>
      </c>
    </row>
    <row r="95" spans="1:13">
      <c r="A95" s="55" t="s">
        <v>38</v>
      </c>
      <c r="B95" s="56" t="str">
        <f>IF(A95="","",VLOOKUP(A95,工位附件!D:E,2,FALSE))</f>
        <v>空气室2#</v>
      </c>
      <c r="C95" s="30" t="s">
        <v>627</v>
      </c>
      <c r="D95" s="30" t="s">
        <v>628</v>
      </c>
      <c r="E95" s="30">
        <v>1</v>
      </c>
      <c r="F95" s="64">
        <v>4</v>
      </c>
      <c r="G95" s="60" t="s">
        <v>639</v>
      </c>
      <c r="H95" s="31" t="s">
        <v>629</v>
      </c>
      <c r="I95" s="31" t="s">
        <v>630</v>
      </c>
      <c r="J95" s="31" t="s">
        <v>395</v>
      </c>
      <c r="K95" s="31" t="s">
        <v>1</v>
      </c>
      <c r="L95" s="2" t="s">
        <v>2</v>
      </c>
      <c r="M95" s="2" t="s">
        <v>3</v>
      </c>
    </row>
    <row r="96" spans="1:13">
      <c r="A96" s="55" t="str">
        <f>A95</f>
        <v>W1HP4-020</v>
      </c>
      <c r="B96" s="56" t="str">
        <f>IF(A96="","",VLOOKUP(A96,工位附件!D:E,2,FALSE))</f>
        <v>空气室2#</v>
      </c>
      <c r="C96" s="30"/>
      <c r="D96" s="30"/>
      <c r="E96" s="30"/>
      <c r="F96" s="64"/>
      <c r="G96" s="60"/>
      <c r="H96" s="31"/>
      <c r="I96" s="31"/>
      <c r="J96" s="31"/>
      <c r="K96" s="31"/>
      <c r="L96" s="2"/>
      <c r="M96" s="2"/>
    </row>
    <row r="97" spans="1:13">
      <c r="A97" s="55" t="s">
        <v>1336</v>
      </c>
      <c r="B97" s="56" t="str">
        <f>IF(A97="","",VLOOKUP(A97,工位附件!D:E,2,FALSE))</f>
        <v>前地板1#</v>
      </c>
      <c r="C97" s="30" t="s">
        <v>631</v>
      </c>
      <c r="D97" s="30" t="s">
        <v>632</v>
      </c>
      <c r="E97" s="30">
        <v>1</v>
      </c>
      <c r="F97" s="60">
        <v>26</v>
      </c>
      <c r="G97" s="60" t="s">
        <v>640</v>
      </c>
      <c r="H97" s="31" t="s">
        <v>641</v>
      </c>
      <c r="I97" s="31" t="s">
        <v>644</v>
      </c>
      <c r="J97" s="31" t="s">
        <v>1</v>
      </c>
      <c r="K97" s="31" t="s">
        <v>1</v>
      </c>
      <c r="L97" s="2" t="s">
        <v>2</v>
      </c>
      <c r="M97" s="2" t="s">
        <v>3</v>
      </c>
    </row>
    <row r="98" spans="1:13">
      <c r="A98" s="55" t="str">
        <f t="shared" ref="A98:A100" si="15">A97</f>
        <v>W1FF4-010</v>
      </c>
      <c r="B98" s="56" t="str">
        <f>IF(A98="","",VLOOKUP(A98,工位附件!D:E,2,FALSE))</f>
        <v>前地板1#</v>
      </c>
      <c r="C98" s="30" t="s">
        <v>633</v>
      </c>
      <c r="D98" s="30" t="s">
        <v>634</v>
      </c>
      <c r="E98" s="30">
        <v>2</v>
      </c>
      <c r="F98" s="60"/>
      <c r="G98" s="60"/>
      <c r="H98" s="31" t="s">
        <v>642</v>
      </c>
      <c r="I98" s="31" t="s">
        <v>645</v>
      </c>
      <c r="J98" s="31" t="s">
        <v>1</v>
      </c>
      <c r="K98" s="31" t="s">
        <v>1</v>
      </c>
      <c r="L98" s="2" t="s">
        <v>2</v>
      </c>
      <c r="M98" s="2" t="s">
        <v>3</v>
      </c>
    </row>
    <row r="99" spans="1:13">
      <c r="A99" s="55" t="str">
        <f t="shared" si="15"/>
        <v>W1FF4-010</v>
      </c>
      <c r="B99" s="56" t="str">
        <f>IF(A99="","",VLOOKUP(A99,工位附件!D:E,2,FALSE))</f>
        <v>前地板1#</v>
      </c>
      <c r="C99" s="30" t="s">
        <v>635</v>
      </c>
      <c r="D99" s="30" t="s">
        <v>636</v>
      </c>
      <c r="E99" s="30">
        <v>1</v>
      </c>
      <c r="F99" s="60"/>
      <c r="G99" s="60"/>
      <c r="H99" s="31" t="s">
        <v>643</v>
      </c>
      <c r="I99" s="31" t="s">
        <v>645</v>
      </c>
      <c r="J99" s="31" t="s">
        <v>1</v>
      </c>
      <c r="K99" s="31" t="s">
        <v>1</v>
      </c>
      <c r="L99" s="2" t="s">
        <v>2</v>
      </c>
      <c r="M99" s="2" t="s">
        <v>3</v>
      </c>
    </row>
    <row r="100" spans="1:13">
      <c r="A100" s="55" t="str">
        <f t="shared" si="15"/>
        <v>W1FF4-010</v>
      </c>
      <c r="B100" s="56" t="str">
        <f>IF(A100="","",VLOOKUP(A100,工位附件!D:E,2,FALSE))</f>
        <v>前地板1#</v>
      </c>
      <c r="C100" s="30" t="s">
        <v>637</v>
      </c>
      <c r="D100" s="30" t="s">
        <v>638</v>
      </c>
      <c r="E100" s="30">
        <v>1</v>
      </c>
      <c r="F100" s="60"/>
      <c r="G100" s="60"/>
      <c r="H100" s="31"/>
      <c r="I100" s="31"/>
      <c r="J100" s="31"/>
      <c r="K100" s="31"/>
      <c r="L100" s="2"/>
      <c r="M100" s="2"/>
    </row>
    <row r="101" spans="1:13">
      <c r="A101" s="55" t="s">
        <v>11</v>
      </c>
      <c r="B101" s="56" t="str">
        <f>IF(A101="","",VLOOKUP(A101,工位附件!D:E,2,FALSE))</f>
        <v>前地板2#</v>
      </c>
      <c r="C101" s="30" t="s">
        <v>646</v>
      </c>
      <c r="D101" s="30" t="s">
        <v>651</v>
      </c>
      <c r="E101" s="30">
        <v>1</v>
      </c>
      <c r="F101" s="60">
        <v>24</v>
      </c>
      <c r="G101" s="60" t="s">
        <v>640</v>
      </c>
      <c r="H101" s="31" t="s">
        <v>652</v>
      </c>
      <c r="I101" s="31" t="s">
        <v>654</v>
      </c>
      <c r="J101" s="31" t="s">
        <v>395</v>
      </c>
      <c r="K101" s="31" t="s">
        <v>1</v>
      </c>
      <c r="L101" s="2" t="s">
        <v>2</v>
      </c>
      <c r="M101" s="2" t="s">
        <v>3</v>
      </c>
    </row>
    <row r="102" spans="1:13">
      <c r="A102" s="55" t="str">
        <f t="shared" ref="A102:A103" si="16">A101</f>
        <v>W1FF4-020</v>
      </c>
      <c r="B102" s="56" t="str">
        <f>IF(A102="","",VLOOKUP(A102,工位附件!D:E,2,FALSE))</f>
        <v>前地板2#</v>
      </c>
      <c r="C102" s="30" t="s">
        <v>647</v>
      </c>
      <c r="D102" s="30" t="s">
        <v>649</v>
      </c>
      <c r="E102" s="30">
        <v>1</v>
      </c>
      <c r="F102" s="60"/>
      <c r="G102" s="60"/>
      <c r="H102" s="31" t="s">
        <v>653</v>
      </c>
      <c r="I102" s="31" t="s">
        <v>654</v>
      </c>
      <c r="J102" s="31" t="s">
        <v>395</v>
      </c>
      <c r="K102" s="31" t="s">
        <v>1</v>
      </c>
      <c r="L102" s="2" t="s">
        <v>2</v>
      </c>
      <c r="M102" s="2" t="s">
        <v>3</v>
      </c>
    </row>
    <row r="103" spans="1:13">
      <c r="A103" s="55" t="str">
        <f t="shared" si="16"/>
        <v>W1FF4-020</v>
      </c>
      <c r="B103" s="56" t="str">
        <f>IF(A103="","",VLOOKUP(A103,工位附件!D:E,2,FALSE))</f>
        <v>前地板2#</v>
      </c>
      <c r="C103" s="30" t="s">
        <v>648</v>
      </c>
      <c r="D103" s="30" t="s">
        <v>650</v>
      </c>
      <c r="E103" s="30">
        <v>1</v>
      </c>
      <c r="F103" s="60"/>
      <c r="G103" s="60"/>
      <c r="H103" s="31"/>
      <c r="I103" s="31"/>
      <c r="J103" s="31"/>
      <c r="K103" s="31"/>
      <c r="L103" s="2"/>
      <c r="M103" s="2"/>
    </row>
    <row r="104" spans="1:13" ht="28.8">
      <c r="A104" s="55" t="s">
        <v>15</v>
      </c>
      <c r="B104" s="56" t="str">
        <f>IF(A104="","",VLOOKUP(A104,工位附件!D:E,2,FALSE))</f>
        <v>前地板4#</v>
      </c>
      <c r="C104" s="30" t="s">
        <v>655</v>
      </c>
      <c r="D104" s="30" t="s">
        <v>651</v>
      </c>
      <c r="E104" s="30">
        <v>1</v>
      </c>
      <c r="F104" s="60">
        <v>39</v>
      </c>
      <c r="G104" s="60" t="s">
        <v>640</v>
      </c>
      <c r="H104" s="31" t="s">
        <v>658</v>
      </c>
      <c r="I104" s="31" t="s">
        <v>660</v>
      </c>
      <c r="J104" s="31" t="s">
        <v>395</v>
      </c>
      <c r="K104" s="31" t="s">
        <v>1</v>
      </c>
      <c r="L104" s="2" t="s">
        <v>2</v>
      </c>
      <c r="M104" s="2" t="s">
        <v>3</v>
      </c>
    </row>
    <row r="105" spans="1:13" ht="28.8">
      <c r="A105" s="55" t="str">
        <f>A104</f>
        <v>W1FF4-040</v>
      </c>
      <c r="B105" s="56" t="str">
        <f>IF(A105="","",VLOOKUP(A105,工位附件!D:E,2,FALSE))</f>
        <v>前地板4#</v>
      </c>
      <c r="C105" s="30" t="s">
        <v>656</v>
      </c>
      <c r="D105" s="30" t="s">
        <v>657</v>
      </c>
      <c r="E105" s="30">
        <v>1</v>
      </c>
      <c r="F105" s="60"/>
      <c r="G105" s="60"/>
      <c r="H105" s="31" t="s">
        <v>659</v>
      </c>
      <c r="I105" s="31" t="s">
        <v>660</v>
      </c>
      <c r="J105" s="31" t="s">
        <v>395</v>
      </c>
      <c r="K105" s="31" t="s">
        <v>1</v>
      </c>
      <c r="L105" s="2" t="s">
        <v>2</v>
      </c>
      <c r="M105" s="2" t="s">
        <v>3</v>
      </c>
    </row>
    <row r="106" spans="1:13">
      <c r="A106" s="55" t="s">
        <v>1337</v>
      </c>
      <c r="B106" s="56" t="str">
        <f>IF(A106="","",VLOOKUP(A106,工位附件!D:E,2,FALSE))</f>
        <v>前地板5#</v>
      </c>
      <c r="C106" s="30" t="s">
        <v>680</v>
      </c>
      <c r="D106" s="30" t="s">
        <v>651</v>
      </c>
      <c r="E106" s="30">
        <v>1</v>
      </c>
      <c r="F106" s="60">
        <v>24</v>
      </c>
      <c r="G106" s="60" t="s">
        <v>640</v>
      </c>
      <c r="H106" s="31" t="s">
        <v>673</v>
      </c>
      <c r="I106" s="31" t="s">
        <v>677</v>
      </c>
      <c r="J106" s="31" t="s">
        <v>395</v>
      </c>
      <c r="K106" s="31" t="s">
        <v>1</v>
      </c>
      <c r="L106" s="2" t="s">
        <v>2</v>
      </c>
      <c r="M106" s="2" t="s">
        <v>3</v>
      </c>
    </row>
    <row r="107" spans="1:13">
      <c r="A107" s="55" t="str">
        <f t="shared" ref="A107:A112" si="17">A106</f>
        <v>W1FF4-050</v>
      </c>
      <c r="B107" s="56" t="str">
        <f>IF(A107="","",VLOOKUP(A107,工位附件!D:E,2,FALSE))</f>
        <v>前地板5#</v>
      </c>
      <c r="C107" s="30" t="s">
        <v>661</v>
      </c>
      <c r="D107" s="30" t="s">
        <v>662</v>
      </c>
      <c r="E107" s="30">
        <v>1</v>
      </c>
      <c r="F107" s="60"/>
      <c r="G107" s="60"/>
      <c r="H107" s="31" t="s">
        <v>674</v>
      </c>
      <c r="I107" s="31" t="s">
        <v>677</v>
      </c>
      <c r="J107" s="31" t="s">
        <v>395</v>
      </c>
      <c r="K107" s="31" t="s">
        <v>1</v>
      </c>
      <c r="L107" s="2" t="s">
        <v>2</v>
      </c>
      <c r="M107" s="2" t="s">
        <v>3</v>
      </c>
    </row>
    <row r="108" spans="1:13">
      <c r="A108" s="55" t="str">
        <f t="shared" si="17"/>
        <v>W1FF4-050</v>
      </c>
      <c r="B108" s="56" t="str">
        <f>IF(A108="","",VLOOKUP(A108,工位附件!D:E,2,FALSE))</f>
        <v>前地板5#</v>
      </c>
      <c r="C108" s="30" t="s">
        <v>663</v>
      </c>
      <c r="D108" s="30" t="s">
        <v>664</v>
      </c>
      <c r="E108" s="30">
        <v>1</v>
      </c>
      <c r="F108" s="60"/>
      <c r="G108" s="60"/>
      <c r="H108" s="31" t="s">
        <v>675</v>
      </c>
      <c r="I108" s="31" t="s">
        <v>678</v>
      </c>
      <c r="J108" s="31" t="s">
        <v>395</v>
      </c>
      <c r="K108" s="31" t="s">
        <v>1</v>
      </c>
      <c r="L108" s="2" t="s">
        <v>2</v>
      </c>
      <c r="M108" s="2" t="s">
        <v>3</v>
      </c>
    </row>
    <row r="109" spans="1:13">
      <c r="A109" s="55" t="str">
        <f t="shared" si="17"/>
        <v>W1FF4-050</v>
      </c>
      <c r="B109" s="56" t="str">
        <f>IF(A109="","",VLOOKUP(A109,工位附件!D:E,2,FALSE))</f>
        <v>前地板5#</v>
      </c>
      <c r="C109" s="30" t="s">
        <v>665</v>
      </c>
      <c r="D109" s="30" t="s">
        <v>666</v>
      </c>
      <c r="E109" s="30">
        <v>1</v>
      </c>
      <c r="F109" s="60"/>
      <c r="G109" s="60"/>
      <c r="H109" s="31" t="s">
        <v>676</v>
      </c>
      <c r="I109" s="31" t="s">
        <v>677</v>
      </c>
      <c r="J109" s="31" t="s">
        <v>395</v>
      </c>
      <c r="K109" s="31" t="s">
        <v>1</v>
      </c>
      <c r="L109" s="2" t="s">
        <v>2</v>
      </c>
      <c r="M109" s="2" t="s">
        <v>3</v>
      </c>
    </row>
    <row r="110" spans="1:13">
      <c r="A110" s="55" t="str">
        <f t="shared" si="17"/>
        <v>W1FF4-050</v>
      </c>
      <c r="B110" s="56" t="str">
        <f>IF(A110="","",VLOOKUP(A110,工位附件!D:E,2,FALSE))</f>
        <v>前地板5#</v>
      </c>
      <c r="C110" s="30" t="s">
        <v>667</v>
      </c>
      <c r="D110" s="30" t="s">
        <v>668</v>
      </c>
      <c r="E110" s="30">
        <v>1</v>
      </c>
      <c r="F110" s="60"/>
      <c r="G110" s="60"/>
      <c r="H110" s="31"/>
      <c r="I110" s="31"/>
      <c r="J110" s="31"/>
      <c r="K110" s="31"/>
      <c r="L110" s="2"/>
      <c r="M110" s="2"/>
    </row>
    <row r="111" spans="1:13">
      <c r="A111" s="55" t="str">
        <f t="shared" si="17"/>
        <v>W1FF4-050</v>
      </c>
      <c r="B111" s="56" t="str">
        <f>IF(A111="","",VLOOKUP(A111,工位附件!D:E,2,FALSE))</f>
        <v>前地板5#</v>
      </c>
      <c r="C111" s="30" t="s">
        <v>669</v>
      </c>
      <c r="D111" s="30" t="s">
        <v>670</v>
      </c>
      <c r="E111" s="30">
        <v>1</v>
      </c>
      <c r="F111" s="60"/>
      <c r="G111" s="60"/>
      <c r="H111" s="31"/>
      <c r="I111" s="31"/>
      <c r="J111" s="31"/>
      <c r="K111" s="31"/>
      <c r="L111" s="2"/>
      <c r="M111" s="2"/>
    </row>
    <row r="112" spans="1:13">
      <c r="A112" s="55" t="str">
        <f t="shared" si="17"/>
        <v>W1FF4-050</v>
      </c>
      <c r="B112" s="56" t="str">
        <f>IF(A112="","",VLOOKUP(A112,工位附件!D:E,2,FALSE))</f>
        <v>前地板5#</v>
      </c>
      <c r="C112" s="30" t="s">
        <v>671</v>
      </c>
      <c r="D112" s="30" t="s">
        <v>672</v>
      </c>
      <c r="E112" s="30">
        <v>1</v>
      </c>
      <c r="F112" s="60"/>
      <c r="G112" s="60"/>
      <c r="H112" s="31"/>
      <c r="I112" s="31"/>
      <c r="J112" s="31"/>
      <c r="K112" s="31"/>
      <c r="L112" s="2"/>
      <c r="M112" s="2"/>
    </row>
    <row r="113" spans="1:13">
      <c r="A113" s="55" t="s">
        <v>19</v>
      </c>
      <c r="B113" s="56" t="str">
        <f>IF(A113="","",VLOOKUP(A113,工位附件!D:E,2,FALSE))</f>
        <v>前地板6#</v>
      </c>
      <c r="C113" s="30" t="s">
        <v>679</v>
      </c>
      <c r="D113" s="30" t="s">
        <v>651</v>
      </c>
      <c r="E113" s="30">
        <v>1</v>
      </c>
      <c r="F113" s="60">
        <v>35</v>
      </c>
      <c r="G113" s="60" t="s">
        <v>640</v>
      </c>
      <c r="H113" s="31" t="s">
        <v>681</v>
      </c>
      <c r="I113" s="31" t="s">
        <v>685</v>
      </c>
      <c r="J113" s="31" t="s">
        <v>395</v>
      </c>
      <c r="K113" s="31" t="s">
        <v>1</v>
      </c>
      <c r="L113" s="2" t="s">
        <v>2</v>
      </c>
      <c r="M113" s="2" t="s">
        <v>3</v>
      </c>
    </row>
    <row r="114" spans="1:13">
      <c r="A114" s="55" t="str">
        <f t="shared" ref="A114:A116" si="18">A113</f>
        <v>W1FF4-060</v>
      </c>
      <c r="B114" s="56" t="str">
        <f>IF(A114="","",VLOOKUP(A114,工位附件!D:E,2,FALSE))</f>
        <v>前地板6#</v>
      </c>
      <c r="C114" s="30"/>
      <c r="D114" s="30"/>
      <c r="E114" s="30"/>
      <c r="F114" s="60"/>
      <c r="G114" s="60"/>
      <c r="H114" s="31" t="s">
        <v>682</v>
      </c>
      <c r="I114" s="31" t="s">
        <v>686</v>
      </c>
      <c r="J114" s="31" t="s">
        <v>1</v>
      </c>
      <c r="K114" s="31" t="s">
        <v>1</v>
      </c>
      <c r="L114" s="2" t="s">
        <v>2</v>
      </c>
      <c r="M114" s="2" t="s">
        <v>3</v>
      </c>
    </row>
    <row r="115" spans="1:13">
      <c r="A115" s="55" t="str">
        <f t="shared" si="18"/>
        <v>W1FF4-060</v>
      </c>
      <c r="B115" s="56" t="str">
        <f>IF(A115="","",VLOOKUP(A115,工位附件!D:E,2,FALSE))</f>
        <v>前地板6#</v>
      </c>
      <c r="C115" s="30"/>
      <c r="D115" s="30"/>
      <c r="E115" s="30"/>
      <c r="F115" s="60"/>
      <c r="G115" s="60"/>
      <c r="H115" s="31" t="s">
        <v>683</v>
      </c>
      <c r="I115" s="31" t="s">
        <v>685</v>
      </c>
      <c r="J115" s="31" t="s">
        <v>395</v>
      </c>
      <c r="K115" s="31" t="s">
        <v>1</v>
      </c>
      <c r="L115" s="2" t="s">
        <v>2</v>
      </c>
      <c r="M115" s="2" t="s">
        <v>3</v>
      </c>
    </row>
    <row r="116" spans="1:13">
      <c r="A116" s="55" t="str">
        <f t="shared" si="18"/>
        <v>W1FF4-060</v>
      </c>
      <c r="B116" s="56" t="str">
        <f>IF(A116="","",VLOOKUP(A116,工位附件!D:E,2,FALSE))</f>
        <v>前地板6#</v>
      </c>
      <c r="C116" s="30"/>
      <c r="D116" s="30"/>
      <c r="E116" s="30"/>
      <c r="F116" s="60"/>
      <c r="G116" s="60"/>
      <c r="H116" s="31" t="s">
        <v>684</v>
      </c>
      <c r="I116" s="31" t="s">
        <v>686</v>
      </c>
      <c r="J116" s="31" t="s">
        <v>1</v>
      </c>
      <c r="K116" s="31" t="s">
        <v>1</v>
      </c>
      <c r="L116" s="2" t="s">
        <v>2</v>
      </c>
      <c r="M116" s="2" t="s">
        <v>3</v>
      </c>
    </row>
    <row r="117" spans="1:13">
      <c r="A117" s="55" t="s">
        <v>21</v>
      </c>
      <c r="B117" s="56" t="str">
        <f>IF(A117="","",VLOOKUP(A117,工位附件!D:E,2,FALSE))</f>
        <v>前地板7#</v>
      </c>
      <c r="C117" s="30" t="s">
        <v>687</v>
      </c>
      <c r="D117" s="30" t="s">
        <v>651</v>
      </c>
      <c r="E117" s="30">
        <v>1</v>
      </c>
      <c r="F117" s="60">
        <v>35</v>
      </c>
      <c r="G117" s="60" t="s">
        <v>640</v>
      </c>
      <c r="H117" s="31" t="s">
        <v>690</v>
      </c>
      <c r="I117" s="31" t="s">
        <v>692</v>
      </c>
      <c r="J117" s="31" t="s">
        <v>1</v>
      </c>
      <c r="K117" s="31" t="s">
        <v>1</v>
      </c>
      <c r="L117" s="2" t="s">
        <v>2</v>
      </c>
      <c r="M117" s="2" t="s">
        <v>3</v>
      </c>
    </row>
    <row r="118" spans="1:13">
      <c r="A118" s="55" t="str">
        <f>A117</f>
        <v>W1FF4-070</v>
      </c>
      <c r="B118" s="56" t="str">
        <f>IF(A118="","",VLOOKUP(A118,工位附件!D:E,2,FALSE))</f>
        <v>前地板7#</v>
      </c>
      <c r="C118" s="30" t="s">
        <v>688</v>
      </c>
      <c r="D118" s="30" t="s">
        <v>689</v>
      </c>
      <c r="E118" s="30">
        <v>1</v>
      </c>
      <c r="F118" s="60"/>
      <c r="G118" s="60"/>
      <c r="H118" s="31" t="s">
        <v>691</v>
      </c>
      <c r="I118" s="31" t="s">
        <v>693</v>
      </c>
      <c r="J118" s="31" t="s">
        <v>1</v>
      </c>
      <c r="K118" s="31" t="s">
        <v>1</v>
      </c>
      <c r="L118" s="2" t="s">
        <v>2</v>
      </c>
      <c r="M118" s="2" t="s">
        <v>3</v>
      </c>
    </row>
    <row r="119" spans="1:13" ht="14.4" customHeight="1">
      <c r="A119" s="55" t="s">
        <v>160</v>
      </c>
      <c r="B119" s="56" t="str">
        <f>IF(A119="","",VLOOKUP(A119,工位附件!D:E,2,FALSE))</f>
        <v>前机舱总成人工上件</v>
      </c>
      <c r="C119" s="30" t="s">
        <v>694</v>
      </c>
      <c r="D119" s="30" t="s">
        <v>695</v>
      </c>
      <c r="E119" s="30">
        <v>1</v>
      </c>
      <c r="F119" s="60">
        <v>52</v>
      </c>
      <c r="G119" s="60" t="s">
        <v>710</v>
      </c>
      <c r="H119" s="31" t="s">
        <v>700</v>
      </c>
      <c r="I119" s="31" t="s">
        <v>757</v>
      </c>
      <c r="J119" s="31" t="s">
        <v>1</v>
      </c>
      <c r="K119" s="31" t="s">
        <v>795</v>
      </c>
      <c r="L119" s="2" t="s">
        <v>2</v>
      </c>
      <c r="M119" s="2" t="s">
        <v>3</v>
      </c>
    </row>
    <row r="120" spans="1:13">
      <c r="A120" s="55" t="str">
        <f t="shared" ref="A120:A121" si="19">A119</f>
        <v>W1ER3-010</v>
      </c>
      <c r="B120" s="56" t="str">
        <f>IF(A120="","",VLOOKUP(A120,工位附件!D:E,2,FALSE))</f>
        <v>前机舱总成人工上件</v>
      </c>
      <c r="C120" s="30" t="s">
        <v>696</v>
      </c>
      <c r="D120" s="30" t="s">
        <v>697</v>
      </c>
      <c r="E120" s="30">
        <v>1</v>
      </c>
      <c r="F120" s="60"/>
      <c r="G120" s="60"/>
      <c r="H120" s="31" t="s">
        <v>701</v>
      </c>
      <c r="I120" s="31" t="s">
        <v>788</v>
      </c>
      <c r="J120" s="31" t="s">
        <v>1</v>
      </c>
      <c r="K120" s="34" t="s">
        <v>795</v>
      </c>
      <c r="L120" s="2" t="s">
        <v>2</v>
      </c>
      <c r="M120" s="2" t="s">
        <v>3</v>
      </c>
    </row>
    <row r="121" spans="1:13" ht="28.8">
      <c r="A121" s="55" t="str">
        <f t="shared" si="19"/>
        <v>W1ER3-010</v>
      </c>
      <c r="B121" s="56" t="str">
        <f>IF(A121="","",VLOOKUP(A121,工位附件!D:E,2,FALSE))</f>
        <v>前机舱总成人工上件</v>
      </c>
      <c r="C121" s="30" t="s">
        <v>698</v>
      </c>
      <c r="D121" s="30" t="s">
        <v>699</v>
      </c>
      <c r="E121" s="30">
        <v>1</v>
      </c>
      <c r="F121" s="60"/>
      <c r="G121" s="60"/>
      <c r="H121" s="31"/>
      <c r="I121" s="31"/>
      <c r="J121" s="31"/>
      <c r="K121" s="31"/>
      <c r="L121" s="2"/>
      <c r="M121" s="2"/>
    </row>
    <row r="122" spans="1:13" ht="28.8">
      <c r="A122" s="55" t="s">
        <v>162</v>
      </c>
      <c r="B122" s="56" t="str">
        <f>IF(A122="","",VLOOKUP(A122,工位附件!D:E,2,FALSE))</f>
        <v>前机舱总成焊接</v>
      </c>
      <c r="C122" s="30" t="s">
        <v>702</v>
      </c>
      <c r="D122" s="30" t="s">
        <v>703</v>
      </c>
      <c r="E122" s="30">
        <v>1</v>
      </c>
      <c r="F122" s="64">
        <v>29</v>
      </c>
      <c r="G122" s="60" t="s">
        <v>704</v>
      </c>
      <c r="H122" s="31" t="s">
        <v>705</v>
      </c>
      <c r="I122" s="31" t="s">
        <v>758</v>
      </c>
      <c r="J122" s="31" t="s">
        <v>1</v>
      </c>
      <c r="K122" s="34" t="s">
        <v>795</v>
      </c>
      <c r="L122" s="2" t="s">
        <v>2</v>
      </c>
      <c r="M122" s="2" t="s">
        <v>3</v>
      </c>
    </row>
    <row r="123" spans="1:13">
      <c r="A123" s="55" t="str">
        <f>A122</f>
        <v>W1ER3-020</v>
      </c>
      <c r="B123" s="56" t="str">
        <f>IF(A123="","",VLOOKUP(A123,工位附件!D:E,2,FALSE))</f>
        <v>前机舱总成焊接</v>
      </c>
      <c r="C123" s="30"/>
      <c r="D123" s="30"/>
      <c r="E123" s="30"/>
      <c r="F123" s="64"/>
      <c r="G123" s="60"/>
      <c r="H123" s="31"/>
      <c r="I123" s="31"/>
      <c r="J123" s="31"/>
      <c r="K123" s="31"/>
      <c r="L123" s="2"/>
      <c r="M123" s="2"/>
    </row>
    <row r="124" spans="1:13" ht="28.8">
      <c r="A124" s="55" t="s">
        <v>164</v>
      </c>
      <c r="B124" s="56" t="str">
        <f>IF(A124="","",VLOOKUP(A124,工位附件!D:E,2,FALSE))</f>
        <v>左右A柱挡板总成上件</v>
      </c>
      <c r="C124" s="30" t="s">
        <v>702</v>
      </c>
      <c r="D124" s="30" t="s">
        <v>703</v>
      </c>
      <c r="E124" s="30">
        <v>1</v>
      </c>
      <c r="F124" s="60">
        <v>16</v>
      </c>
      <c r="G124" s="60" t="s">
        <v>714</v>
      </c>
      <c r="H124" s="31" t="s">
        <v>711</v>
      </c>
      <c r="I124" s="31" t="s">
        <v>759</v>
      </c>
      <c r="J124" s="31" t="s">
        <v>1</v>
      </c>
      <c r="K124" s="34" t="s">
        <v>795</v>
      </c>
      <c r="L124" s="2" t="s">
        <v>2</v>
      </c>
      <c r="M124" s="2" t="s">
        <v>3</v>
      </c>
    </row>
    <row r="125" spans="1:13">
      <c r="A125" s="55" t="str">
        <f t="shared" ref="A125:A126" si="20">A124</f>
        <v>W1ER3-030</v>
      </c>
      <c r="B125" s="56" t="str">
        <f>IF(A125="","",VLOOKUP(A125,工位附件!D:E,2,FALSE))</f>
        <v>左右A柱挡板总成上件</v>
      </c>
      <c r="C125" s="30" t="s">
        <v>706</v>
      </c>
      <c r="D125" s="30" t="s">
        <v>708</v>
      </c>
      <c r="E125" s="30">
        <v>1</v>
      </c>
      <c r="F125" s="60"/>
      <c r="G125" s="60"/>
      <c r="H125" s="31" t="s">
        <v>712</v>
      </c>
      <c r="I125" s="31" t="s">
        <v>760</v>
      </c>
      <c r="J125" s="31" t="s">
        <v>1</v>
      </c>
      <c r="K125" s="34" t="s">
        <v>795</v>
      </c>
      <c r="L125" s="2" t="s">
        <v>2</v>
      </c>
      <c r="M125" s="2" t="s">
        <v>3</v>
      </c>
    </row>
    <row r="126" spans="1:13">
      <c r="A126" s="55" t="str">
        <f t="shared" si="20"/>
        <v>W1ER3-030</v>
      </c>
      <c r="B126" s="56" t="str">
        <f>IF(A126="","",VLOOKUP(A126,工位附件!D:E,2,FALSE))</f>
        <v>左右A柱挡板总成上件</v>
      </c>
      <c r="C126" s="30" t="s">
        <v>707</v>
      </c>
      <c r="D126" s="30" t="s">
        <v>709</v>
      </c>
      <c r="E126" s="30">
        <v>1</v>
      </c>
      <c r="F126" s="60"/>
      <c r="G126" s="60"/>
      <c r="H126" s="31"/>
      <c r="I126" s="31"/>
      <c r="J126" s="31"/>
      <c r="K126" s="31"/>
      <c r="L126" s="2"/>
      <c r="M126" s="2"/>
    </row>
    <row r="127" spans="1:13" ht="28.8">
      <c r="A127" s="55" t="s">
        <v>166</v>
      </c>
      <c r="B127" s="56" t="str">
        <f>IF(A127="","",VLOOKUP(A127,工位附件!D:E,2,FALSE))</f>
        <v>下车体前部总成焊接</v>
      </c>
      <c r="C127" s="30" t="s">
        <v>702</v>
      </c>
      <c r="D127" s="30" t="s">
        <v>703</v>
      </c>
      <c r="E127" s="30">
        <v>1</v>
      </c>
      <c r="F127" s="64">
        <v>18</v>
      </c>
      <c r="G127" s="60" t="s">
        <v>717</v>
      </c>
      <c r="H127" s="31" t="s">
        <v>713</v>
      </c>
      <c r="I127" s="31" t="s">
        <v>761</v>
      </c>
      <c r="J127" s="31" t="s">
        <v>1</v>
      </c>
      <c r="K127" s="34" t="s">
        <v>795</v>
      </c>
      <c r="L127" s="2" t="s">
        <v>2</v>
      </c>
      <c r="M127" s="2" t="s">
        <v>3</v>
      </c>
    </row>
    <row r="128" spans="1:13">
      <c r="A128" s="55" t="str">
        <f>A127</f>
        <v>W1ER3-040</v>
      </c>
      <c r="B128" s="56" t="str">
        <f>IF(A128="","",VLOOKUP(A128,工位附件!D:E,2,FALSE))</f>
        <v>下车体前部总成焊接</v>
      </c>
      <c r="C128" s="30"/>
      <c r="D128" s="30"/>
      <c r="E128" s="30"/>
      <c r="F128" s="64"/>
      <c r="G128" s="60"/>
      <c r="H128" s="31"/>
      <c r="I128" s="31"/>
      <c r="J128" s="31"/>
      <c r="K128" s="31"/>
      <c r="L128" s="2"/>
      <c r="M128" s="2"/>
    </row>
    <row r="129" spans="1:13" ht="28.8">
      <c r="A129" s="55" t="s">
        <v>168</v>
      </c>
      <c r="B129" s="56" t="str">
        <f>IF(A129="","",VLOOKUP(A129,工位附件!D:E,2,FALSE))</f>
        <v>前地板总成上件</v>
      </c>
      <c r="C129" s="30" t="s">
        <v>702</v>
      </c>
      <c r="D129" s="30" t="s">
        <v>703</v>
      </c>
      <c r="E129" s="30">
        <v>1</v>
      </c>
      <c r="F129" s="60">
        <v>49</v>
      </c>
      <c r="G129" s="60" t="s">
        <v>755</v>
      </c>
      <c r="H129" s="31" t="s">
        <v>718</v>
      </c>
      <c r="I129" s="31" t="s">
        <v>762</v>
      </c>
      <c r="J129" s="31" t="s">
        <v>1</v>
      </c>
      <c r="K129" s="34" t="s">
        <v>795</v>
      </c>
      <c r="L129" s="2" t="s">
        <v>2</v>
      </c>
      <c r="M129" s="2" t="s">
        <v>3</v>
      </c>
    </row>
    <row r="130" spans="1:13">
      <c r="A130" s="55" t="str">
        <f>A129</f>
        <v>W1ER3-050</v>
      </c>
      <c r="B130" s="56" t="str">
        <f>IF(A130="","",VLOOKUP(A130,工位附件!D:E,2,FALSE))</f>
        <v>前地板总成上件</v>
      </c>
      <c r="C130" s="30" t="s">
        <v>715</v>
      </c>
      <c r="D130" s="30" t="s">
        <v>716</v>
      </c>
      <c r="E130" s="30">
        <v>1</v>
      </c>
      <c r="F130" s="60"/>
      <c r="G130" s="60"/>
      <c r="H130" s="31" t="s">
        <v>719</v>
      </c>
      <c r="I130" s="31" t="s">
        <v>763</v>
      </c>
      <c r="J130" s="31" t="s">
        <v>1</v>
      </c>
      <c r="K130" s="34" t="s">
        <v>795</v>
      </c>
      <c r="L130" s="2" t="s">
        <v>2</v>
      </c>
      <c r="M130" s="2" t="s">
        <v>3</v>
      </c>
    </row>
    <row r="131" spans="1:13" ht="28.8">
      <c r="A131" s="55" t="s">
        <v>170</v>
      </c>
      <c r="B131" s="56" t="str">
        <f>IF(A131="","",VLOOKUP(A131,工位附件!D:E,2,FALSE))</f>
        <v>下车体前部总成焊接</v>
      </c>
      <c r="C131" s="30" t="s">
        <v>721</v>
      </c>
      <c r="D131" s="30" t="s">
        <v>720</v>
      </c>
      <c r="E131" s="30">
        <v>1</v>
      </c>
      <c r="F131" s="64">
        <v>20</v>
      </c>
      <c r="G131" s="60" t="s">
        <v>756</v>
      </c>
      <c r="H131" s="31" t="s">
        <v>722</v>
      </c>
      <c r="I131" s="31" t="s">
        <v>764</v>
      </c>
      <c r="J131" s="34" t="s">
        <v>1</v>
      </c>
      <c r="K131" s="34" t="s">
        <v>795</v>
      </c>
      <c r="L131" s="2" t="s">
        <v>2</v>
      </c>
      <c r="M131" s="2" t="s">
        <v>3</v>
      </c>
    </row>
    <row r="132" spans="1:13">
      <c r="A132" s="55" t="str">
        <f>A131</f>
        <v>W1ER3-060</v>
      </c>
      <c r="B132" s="56" t="str">
        <f>IF(A132="","",VLOOKUP(A132,工位附件!D:E,2,FALSE))</f>
        <v>下车体前部总成焊接</v>
      </c>
      <c r="C132" s="30"/>
      <c r="D132" s="30"/>
      <c r="E132" s="30"/>
      <c r="F132" s="64"/>
      <c r="G132" s="60"/>
      <c r="H132" s="31"/>
      <c r="I132" s="31"/>
      <c r="J132" s="31"/>
      <c r="K132" s="31"/>
      <c r="L132" s="2"/>
      <c r="M132" s="2"/>
    </row>
    <row r="133" spans="1:13" ht="14.4" customHeight="1">
      <c r="A133" s="55" t="s">
        <v>171</v>
      </c>
      <c r="B133" s="56" t="str">
        <f>IF(A133="","",VLOOKUP(A133,工位附件!D:E,2,FALSE))</f>
        <v>下车体前部总成焊接</v>
      </c>
      <c r="C133" s="30" t="s">
        <v>721</v>
      </c>
      <c r="D133" s="30" t="s">
        <v>720</v>
      </c>
      <c r="E133" s="30">
        <v>1</v>
      </c>
      <c r="F133" s="60">
        <v>107</v>
      </c>
      <c r="G133" s="60" t="s">
        <v>756</v>
      </c>
      <c r="H133" s="31" t="s">
        <v>723</v>
      </c>
      <c r="I133" s="31" t="s">
        <v>765</v>
      </c>
      <c r="J133" s="34" t="s">
        <v>1</v>
      </c>
      <c r="K133" s="34" t="s">
        <v>795</v>
      </c>
      <c r="L133" s="2" t="s">
        <v>2</v>
      </c>
      <c r="M133" s="2" t="s">
        <v>3</v>
      </c>
    </row>
    <row r="134" spans="1:13">
      <c r="A134" s="55" t="str">
        <f t="shared" ref="A134:A136" si="21">A133</f>
        <v>W1ER3-070</v>
      </c>
      <c r="B134" s="56" t="str">
        <f>IF(A134="","",VLOOKUP(A134,工位附件!D:E,2,FALSE))</f>
        <v>下车体前部总成焊接</v>
      </c>
      <c r="C134" s="30"/>
      <c r="D134" s="30"/>
      <c r="E134" s="30"/>
      <c r="F134" s="60"/>
      <c r="G134" s="60"/>
      <c r="H134" s="31" t="s">
        <v>724</v>
      </c>
      <c r="I134" s="31" t="s">
        <v>766</v>
      </c>
      <c r="J134" s="34" t="s">
        <v>1</v>
      </c>
      <c r="K134" s="34" t="s">
        <v>795</v>
      </c>
      <c r="L134" s="2" t="s">
        <v>2</v>
      </c>
      <c r="M134" s="2" t="s">
        <v>3</v>
      </c>
    </row>
    <row r="135" spans="1:13">
      <c r="A135" s="55" t="str">
        <f t="shared" si="21"/>
        <v>W1ER3-070</v>
      </c>
      <c r="B135" s="56" t="str">
        <f>IF(A135="","",VLOOKUP(A135,工位附件!D:E,2,FALSE))</f>
        <v>下车体前部总成焊接</v>
      </c>
      <c r="C135" s="30"/>
      <c r="D135" s="30"/>
      <c r="E135" s="30"/>
      <c r="F135" s="60"/>
      <c r="G135" s="60"/>
      <c r="H135" s="31" t="s">
        <v>725</v>
      </c>
      <c r="I135" s="31" t="s">
        <v>767</v>
      </c>
      <c r="J135" s="34" t="s">
        <v>1</v>
      </c>
      <c r="K135" s="34" t="s">
        <v>795</v>
      </c>
      <c r="L135" s="2" t="s">
        <v>2</v>
      </c>
      <c r="M135" s="2" t="s">
        <v>3</v>
      </c>
    </row>
    <row r="136" spans="1:13">
      <c r="A136" s="55" t="str">
        <f t="shared" si="21"/>
        <v>W1ER3-070</v>
      </c>
      <c r="B136" s="56" t="str">
        <f>IF(A136="","",VLOOKUP(A136,工位附件!D:E,2,FALSE))</f>
        <v>下车体前部总成焊接</v>
      </c>
      <c r="C136" s="30"/>
      <c r="D136" s="30"/>
      <c r="E136" s="30"/>
      <c r="F136" s="60"/>
      <c r="G136" s="60"/>
      <c r="H136" s="31" t="s">
        <v>726</v>
      </c>
      <c r="I136" s="31" t="s">
        <v>768</v>
      </c>
      <c r="J136" s="34" t="s">
        <v>1</v>
      </c>
      <c r="K136" s="34" t="s">
        <v>795</v>
      </c>
      <c r="L136" s="2" t="s">
        <v>2</v>
      </c>
      <c r="M136" s="2" t="s">
        <v>3</v>
      </c>
    </row>
    <row r="137" spans="1:13" ht="14.4" customHeight="1">
      <c r="A137" s="55" t="s">
        <v>172</v>
      </c>
      <c r="B137" s="56" t="str">
        <f>IF(A137="","",VLOOKUP(A137,工位附件!D:E,2,FALSE))</f>
        <v>下车体前部总成焊接</v>
      </c>
      <c r="C137" s="30" t="s">
        <v>721</v>
      </c>
      <c r="D137" s="30" t="s">
        <v>720</v>
      </c>
      <c r="E137" s="30">
        <v>1</v>
      </c>
      <c r="F137" s="64">
        <v>7</v>
      </c>
      <c r="G137" s="60" t="s">
        <v>756</v>
      </c>
      <c r="H137" s="31" t="s">
        <v>727</v>
      </c>
      <c r="I137" s="31" t="s">
        <v>769</v>
      </c>
      <c r="J137" s="34" t="s">
        <v>1</v>
      </c>
      <c r="K137" s="34" t="s">
        <v>795</v>
      </c>
      <c r="L137" s="2" t="s">
        <v>794</v>
      </c>
      <c r="M137" s="2" t="s">
        <v>3</v>
      </c>
    </row>
    <row r="138" spans="1:13">
      <c r="A138" s="55" t="str">
        <f>A137</f>
        <v>W1ER3-080</v>
      </c>
      <c r="B138" s="56" t="str">
        <f>IF(A138="","",VLOOKUP(A138,工位附件!D:E,2,FALSE))</f>
        <v>下车体前部总成焊接</v>
      </c>
      <c r="C138" s="30"/>
      <c r="D138" s="30"/>
      <c r="E138" s="30"/>
      <c r="F138" s="64"/>
      <c r="G138" s="60"/>
      <c r="H138" s="31"/>
      <c r="I138" s="31"/>
      <c r="J138" s="31"/>
      <c r="K138" s="31"/>
      <c r="L138" s="2"/>
      <c r="M138" s="2"/>
    </row>
    <row r="139" spans="1:13" ht="14.4" customHeight="1">
      <c r="A139" s="55" t="s">
        <v>174</v>
      </c>
      <c r="B139" s="56" t="str">
        <f>IF(A139="","",VLOOKUP(A139,工位附件!D:E,2,FALSE))</f>
        <v>机舱前地板、后地板上件</v>
      </c>
      <c r="C139" s="30" t="s">
        <v>721</v>
      </c>
      <c r="D139" s="30" t="s">
        <v>720</v>
      </c>
      <c r="E139" s="30">
        <v>1</v>
      </c>
      <c r="F139" s="60">
        <v>38</v>
      </c>
      <c r="G139" s="60" t="s">
        <v>756</v>
      </c>
      <c r="H139" s="31" t="s">
        <v>730</v>
      </c>
      <c r="I139" s="31" t="s">
        <v>770</v>
      </c>
      <c r="J139" s="34" t="s">
        <v>1</v>
      </c>
      <c r="K139" s="34" t="s">
        <v>795</v>
      </c>
      <c r="L139" s="2" t="s">
        <v>2</v>
      </c>
      <c r="M139" s="2" t="s">
        <v>3</v>
      </c>
    </row>
    <row r="140" spans="1:13">
      <c r="A140" s="55" t="str">
        <f>A139</f>
        <v>W1UB-030</v>
      </c>
      <c r="B140" s="56" t="str">
        <f>IF(A140="","",VLOOKUP(A140,工位附件!D:E,2,FALSE))</f>
        <v>机舱前地板、后地板上件</v>
      </c>
      <c r="C140" s="30" t="s">
        <v>728</v>
      </c>
      <c r="D140" s="30" t="s">
        <v>729</v>
      </c>
      <c r="E140" s="30">
        <v>1</v>
      </c>
      <c r="F140" s="60"/>
      <c r="G140" s="60"/>
      <c r="H140" s="31" t="s">
        <v>731</v>
      </c>
      <c r="I140" s="31" t="s">
        <v>771</v>
      </c>
      <c r="J140" s="34" t="s">
        <v>1</v>
      </c>
      <c r="K140" s="34" t="s">
        <v>795</v>
      </c>
      <c r="L140" s="2" t="s">
        <v>2</v>
      </c>
      <c r="M140" s="2" t="s">
        <v>3</v>
      </c>
    </row>
    <row r="141" spans="1:13">
      <c r="A141" s="55" t="s">
        <v>176</v>
      </c>
      <c r="B141" s="56" t="str">
        <f>IF(A141="","",VLOOKUP(A141,工位附件!D:E,2,FALSE))</f>
        <v>补焊工位</v>
      </c>
      <c r="C141" s="30" t="s">
        <v>736</v>
      </c>
      <c r="D141" s="30" t="s">
        <v>737</v>
      </c>
      <c r="E141" s="30">
        <v>1</v>
      </c>
      <c r="F141" s="60">
        <v>104</v>
      </c>
      <c r="G141" s="60" t="s">
        <v>756</v>
      </c>
      <c r="H141" s="31" t="s">
        <v>732</v>
      </c>
      <c r="I141" s="31" t="s">
        <v>770</v>
      </c>
      <c r="J141" s="34" t="s">
        <v>1</v>
      </c>
      <c r="K141" s="34" t="s">
        <v>795</v>
      </c>
      <c r="L141" s="2" t="s">
        <v>2</v>
      </c>
      <c r="M141" s="2" t="s">
        <v>3</v>
      </c>
    </row>
    <row r="142" spans="1:13">
      <c r="A142" s="55" t="str">
        <f t="shared" ref="A142:A144" si="22">A141</f>
        <v>W1UB-040</v>
      </c>
      <c r="B142" s="56" t="str">
        <f>IF(A142="","",VLOOKUP(A142,工位附件!D:E,2,FALSE))</f>
        <v>补焊工位</v>
      </c>
      <c r="C142" s="30"/>
      <c r="D142" s="30"/>
      <c r="E142" s="30"/>
      <c r="F142" s="60"/>
      <c r="G142" s="60"/>
      <c r="H142" s="31" t="s">
        <v>733</v>
      </c>
      <c r="I142" s="31" t="s">
        <v>771</v>
      </c>
      <c r="J142" s="34" t="s">
        <v>1</v>
      </c>
      <c r="K142" s="34" t="s">
        <v>795</v>
      </c>
      <c r="L142" s="2" t="s">
        <v>2</v>
      </c>
      <c r="M142" s="2" t="s">
        <v>3</v>
      </c>
    </row>
    <row r="143" spans="1:13">
      <c r="A143" s="55" t="str">
        <f t="shared" si="22"/>
        <v>W1UB-040</v>
      </c>
      <c r="B143" s="56" t="str">
        <f>IF(A143="","",VLOOKUP(A143,工位附件!D:E,2,FALSE))</f>
        <v>补焊工位</v>
      </c>
      <c r="C143" s="30"/>
      <c r="D143" s="30"/>
      <c r="E143" s="30"/>
      <c r="F143" s="60"/>
      <c r="G143" s="60"/>
      <c r="H143" s="31" t="s">
        <v>734</v>
      </c>
      <c r="I143" s="31" t="s">
        <v>772</v>
      </c>
      <c r="J143" s="34" t="s">
        <v>1</v>
      </c>
      <c r="K143" s="34" t="s">
        <v>795</v>
      </c>
      <c r="L143" s="2" t="s">
        <v>2</v>
      </c>
      <c r="M143" s="2" t="s">
        <v>3</v>
      </c>
    </row>
    <row r="144" spans="1:13">
      <c r="A144" s="55" t="str">
        <f t="shared" si="22"/>
        <v>W1UB-040</v>
      </c>
      <c r="B144" s="56" t="str">
        <f>IF(A144="","",VLOOKUP(A144,工位附件!D:E,2,FALSE))</f>
        <v>补焊工位</v>
      </c>
      <c r="C144" s="30"/>
      <c r="D144" s="30"/>
      <c r="E144" s="30"/>
      <c r="F144" s="60"/>
      <c r="G144" s="60"/>
      <c r="H144" s="31" t="s">
        <v>735</v>
      </c>
      <c r="I144" s="31" t="s">
        <v>773</v>
      </c>
      <c r="J144" s="34" t="s">
        <v>1</v>
      </c>
      <c r="K144" s="34" t="s">
        <v>795</v>
      </c>
      <c r="L144" s="2" t="s">
        <v>2</v>
      </c>
      <c r="M144" s="2" t="s">
        <v>3</v>
      </c>
    </row>
    <row r="145" spans="1:13">
      <c r="A145" s="55" t="s">
        <v>178</v>
      </c>
      <c r="B145" s="56" t="str">
        <f>IF(A145="","",VLOOKUP(A145,工位附件!D:E,2,FALSE))</f>
        <v>空气室总成上件</v>
      </c>
      <c r="C145" s="30" t="s">
        <v>736</v>
      </c>
      <c r="D145" s="30" t="s">
        <v>737</v>
      </c>
      <c r="E145" s="30">
        <v>1</v>
      </c>
      <c r="F145" s="60">
        <v>95</v>
      </c>
      <c r="G145" s="60" t="s">
        <v>756</v>
      </c>
      <c r="H145" s="31" t="s">
        <v>738</v>
      </c>
      <c r="I145" s="33" t="s">
        <v>774</v>
      </c>
      <c r="J145" s="34" t="s">
        <v>1</v>
      </c>
      <c r="K145" s="34" t="s">
        <v>795</v>
      </c>
      <c r="L145" s="2" t="s">
        <v>2</v>
      </c>
      <c r="M145" s="2" t="s">
        <v>3</v>
      </c>
    </row>
    <row r="146" spans="1:13">
      <c r="A146" s="55" t="str">
        <f t="shared" ref="A146:A148" si="23">A145</f>
        <v>W1UB-050</v>
      </c>
      <c r="B146" s="56" t="str">
        <f>IF(A146="","",VLOOKUP(A146,工位附件!D:E,2,FALSE))</f>
        <v>空气室总成上件</v>
      </c>
      <c r="C146" s="30" t="s">
        <v>627</v>
      </c>
      <c r="D146" s="30" t="s">
        <v>628</v>
      </c>
      <c r="E146" s="30">
        <v>1</v>
      </c>
      <c r="F146" s="60"/>
      <c r="G146" s="60"/>
      <c r="H146" s="31" t="s">
        <v>739</v>
      </c>
      <c r="I146" s="33" t="s">
        <v>775</v>
      </c>
      <c r="J146" s="34" t="s">
        <v>1</v>
      </c>
      <c r="K146" s="34" t="s">
        <v>795</v>
      </c>
      <c r="L146" s="2" t="s">
        <v>2</v>
      </c>
      <c r="M146" s="2" t="s">
        <v>3</v>
      </c>
    </row>
    <row r="147" spans="1:13">
      <c r="A147" s="55" t="str">
        <f t="shared" si="23"/>
        <v>W1UB-050</v>
      </c>
      <c r="B147" s="56" t="str">
        <f>IF(A147="","",VLOOKUP(A147,工位附件!D:E,2,FALSE))</f>
        <v>空气室总成上件</v>
      </c>
      <c r="C147" s="30"/>
      <c r="D147" s="30"/>
      <c r="E147" s="30"/>
      <c r="F147" s="60"/>
      <c r="G147" s="60"/>
      <c r="H147" s="31" t="s">
        <v>740</v>
      </c>
      <c r="I147" s="31" t="s">
        <v>776</v>
      </c>
      <c r="J147" s="34" t="s">
        <v>1</v>
      </c>
      <c r="K147" s="34" t="s">
        <v>795</v>
      </c>
      <c r="L147" s="2" t="s">
        <v>2</v>
      </c>
      <c r="M147" s="2" t="s">
        <v>3</v>
      </c>
    </row>
    <row r="148" spans="1:13">
      <c r="A148" s="55" t="str">
        <f t="shared" si="23"/>
        <v>W1UB-050</v>
      </c>
      <c r="B148" s="56" t="str">
        <f>IF(A148="","",VLOOKUP(A148,工位附件!D:E,2,FALSE))</f>
        <v>空气室总成上件</v>
      </c>
      <c r="C148" s="30"/>
      <c r="D148" s="30"/>
      <c r="E148" s="30"/>
      <c r="F148" s="60"/>
      <c r="G148" s="60"/>
      <c r="H148" s="31" t="s">
        <v>741</v>
      </c>
      <c r="I148" s="31" t="s">
        <v>777</v>
      </c>
      <c r="J148" s="34" t="s">
        <v>1</v>
      </c>
      <c r="K148" s="34" t="s">
        <v>795</v>
      </c>
      <c r="L148" s="2" t="s">
        <v>2</v>
      </c>
      <c r="M148" s="2" t="s">
        <v>3</v>
      </c>
    </row>
    <row r="149" spans="1:13">
      <c r="A149" s="55" t="s">
        <v>182</v>
      </c>
      <c r="B149" s="56" t="str">
        <f>IF(A149="","",VLOOKUP(A149,工位附件!D:E,2,FALSE))</f>
        <v>后围总成上件</v>
      </c>
      <c r="C149" s="30" t="s">
        <v>736</v>
      </c>
      <c r="D149" s="30" t="s">
        <v>737</v>
      </c>
      <c r="E149" s="30">
        <v>1</v>
      </c>
      <c r="F149" s="60">
        <v>49</v>
      </c>
      <c r="G149" s="60" t="s">
        <v>756</v>
      </c>
      <c r="H149" s="31" t="s">
        <v>742</v>
      </c>
      <c r="I149" s="31" t="s">
        <v>778</v>
      </c>
      <c r="J149" s="34" t="s">
        <v>1</v>
      </c>
      <c r="K149" s="34" t="s">
        <v>795</v>
      </c>
      <c r="L149" s="2" t="s">
        <v>2</v>
      </c>
      <c r="M149" s="2" t="s">
        <v>3</v>
      </c>
    </row>
    <row r="150" spans="1:13">
      <c r="A150" s="55" t="str">
        <f t="shared" ref="A150:A152" si="24">A149</f>
        <v>W1UB-070</v>
      </c>
      <c r="B150" s="56" t="str">
        <f>IF(A150="","",VLOOKUP(A150,工位附件!D:E,2,FALSE))</f>
        <v>后围总成上件</v>
      </c>
      <c r="C150" s="32" t="s">
        <v>789</v>
      </c>
      <c r="D150" s="32" t="s">
        <v>790</v>
      </c>
      <c r="E150" s="32">
        <v>1</v>
      </c>
      <c r="F150" s="60"/>
      <c r="G150" s="60"/>
      <c r="H150" s="31" t="s">
        <v>743</v>
      </c>
      <c r="I150" s="31" t="s">
        <v>779</v>
      </c>
      <c r="J150" s="34" t="s">
        <v>1</v>
      </c>
      <c r="K150" s="34" t="s">
        <v>795</v>
      </c>
      <c r="L150" s="2" t="s">
        <v>2</v>
      </c>
      <c r="M150" s="2" t="s">
        <v>3</v>
      </c>
    </row>
    <row r="151" spans="1:13">
      <c r="A151" s="55" t="str">
        <f t="shared" si="24"/>
        <v>W1UB-070</v>
      </c>
      <c r="B151" s="56" t="str">
        <f>IF(A151="","",VLOOKUP(A151,工位附件!D:E,2,FALSE))</f>
        <v>后围总成上件</v>
      </c>
      <c r="C151" s="30"/>
      <c r="D151" s="30"/>
      <c r="E151" s="30"/>
      <c r="F151" s="60"/>
      <c r="G151" s="60"/>
      <c r="H151" s="31" t="s">
        <v>744</v>
      </c>
      <c r="I151" s="31" t="s">
        <v>780</v>
      </c>
      <c r="J151" s="34" t="s">
        <v>1</v>
      </c>
      <c r="K151" s="34" t="s">
        <v>795</v>
      </c>
      <c r="L151" s="2" t="s">
        <v>2</v>
      </c>
      <c r="M151" s="2" t="s">
        <v>3</v>
      </c>
    </row>
    <row r="152" spans="1:13" ht="28.8">
      <c r="A152" s="55" t="str">
        <f t="shared" si="24"/>
        <v>W1UB-070</v>
      </c>
      <c r="B152" s="56" t="str">
        <f>IF(A152="","",VLOOKUP(A152,工位附件!D:E,2,FALSE))</f>
        <v>后围总成上件</v>
      </c>
      <c r="C152" s="30"/>
      <c r="D152" s="30"/>
      <c r="E152" s="30"/>
      <c r="F152" s="60"/>
      <c r="G152" s="60"/>
      <c r="H152" s="31" t="s">
        <v>745</v>
      </c>
      <c r="I152" s="31" t="s">
        <v>792</v>
      </c>
      <c r="J152" s="34" t="s">
        <v>1</v>
      </c>
      <c r="K152" s="34" t="s">
        <v>795</v>
      </c>
      <c r="L152" s="2" t="s">
        <v>2</v>
      </c>
      <c r="M152" s="2" t="s">
        <v>3</v>
      </c>
    </row>
    <row r="153" spans="1:13">
      <c r="A153" s="55" t="s">
        <v>184</v>
      </c>
      <c r="B153" s="56" t="str">
        <f>IF(A153="","",VLOOKUP(A153,工位附件!D:E,2,FALSE))</f>
        <v>下车体补焊工位</v>
      </c>
      <c r="C153" s="30" t="s">
        <v>736</v>
      </c>
      <c r="D153" s="30" t="s">
        <v>746</v>
      </c>
      <c r="E153" s="30">
        <v>1</v>
      </c>
      <c r="F153" s="60">
        <v>113</v>
      </c>
      <c r="G153" s="60" t="s">
        <v>756</v>
      </c>
      <c r="H153" s="31" t="s">
        <v>750</v>
      </c>
      <c r="I153" s="31" t="s">
        <v>781</v>
      </c>
      <c r="J153" s="34" t="s">
        <v>1</v>
      </c>
      <c r="K153" s="34" t="s">
        <v>795</v>
      </c>
      <c r="L153" s="2" t="s">
        <v>2</v>
      </c>
      <c r="M153" s="2" t="s">
        <v>3</v>
      </c>
    </row>
    <row r="154" spans="1:13">
      <c r="A154" s="55" t="str">
        <f t="shared" ref="A154:A156" si="25">A153</f>
        <v>W1UB-080</v>
      </c>
      <c r="B154" s="56" t="str">
        <f>IF(A154="","",VLOOKUP(A154,工位附件!D:E,2,FALSE))</f>
        <v>下车体补焊工位</v>
      </c>
      <c r="C154" s="30"/>
      <c r="D154" s="30"/>
      <c r="E154" s="30"/>
      <c r="F154" s="60"/>
      <c r="G154" s="60"/>
      <c r="H154" s="31" t="s">
        <v>747</v>
      </c>
      <c r="I154" s="31" t="s">
        <v>782</v>
      </c>
      <c r="J154" s="34" t="s">
        <v>1</v>
      </c>
      <c r="K154" s="34" t="s">
        <v>795</v>
      </c>
      <c r="L154" s="2" t="s">
        <v>2</v>
      </c>
      <c r="M154" s="2" t="s">
        <v>3</v>
      </c>
    </row>
    <row r="155" spans="1:13">
      <c r="A155" s="55" t="str">
        <f t="shared" si="25"/>
        <v>W1UB-080</v>
      </c>
      <c r="B155" s="56" t="str">
        <f>IF(A155="","",VLOOKUP(A155,工位附件!D:E,2,FALSE))</f>
        <v>下车体补焊工位</v>
      </c>
      <c r="C155" s="30"/>
      <c r="D155" s="30"/>
      <c r="E155" s="30"/>
      <c r="F155" s="60"/>
      <c r="G155" s="60"/>
      <c r="H155" s="31" t="s">
        <v>748</v>
      </c>
      <c r="I155" s="31" t="s">
        <v>783</v>
      </c>
      <c r="J155" s="34" t="s">
        <v>1</v>
      </c>
      <c r="K155" s="34" t="s">
        <v>795</v>
      </c>
      <c r="L155" s="2" t="s">
        <v>2</v>
      </c>
      <c r="M155" s="2" t="s">
        <v>3</v>
      </c>
    </row>
    <row r="156" spans="1:13">
      <c r="A156" s="55" t="str">
        <f t="shared" si="25"/>
        <v>W1UB-080</v>
      </c>
      <c r="B156" s="56" t="str">
        <f>IF(A156="","",VLOOKUP(A156,工位附件!D:E,2,FALSE))</f>
        <v>下车体补焊工位</v>
      </c>
      <c r="C156" s="30"/>
      <c r="D156" s="30"/>
      <c r="E156" s="30"/>
      <c r="F156" s="60"/>
      <c r="G156" s="60"/>
      <c r="H156" s="31" t="s">
        <v>749</v>
      </c>
      <c r="I156" s="31" t="s">
        <v>791</v>
      </c>
      <c r="J156" s="34" t="s">
        <v>1</v>
      </c>
      <c r="K156" s="34" t="s">
        <v>795</v>
      </c>
      <c r="L156" s="2" t="s">
        <v>2</v>
      </c>
      <c r="M156" s="2" t="s">
        <v>3</v>
      </c>
    </row>
    <row r="157" spans="1:13">
      <c r="A157" s="55" t="s">
        <v>185</v>
      </c>
      <c r="B157" s="56" t="str">
        <f>IF(A157="","",VLOOKUP(A157,工位附件!D:E,2,FALSE))</f>
        <v>下车体补焊工位</v>
      </c>
      <c r="C157" s="30" t="s">
        <v>736</v>
      </c>
      <c r="D157" s="30" t="s">
        <v>746</v>
      </c>
      <c r="E157" s="30">
        <v>1</v>
      </c>
      <c r="F157" s="60">
        <v>161</v>
      </c>
      <c r="G157" s="60" t="s">
        <v>793</v>
      </c>
      <c r="H157" s="31" t="s">
        <v>751</v>
      </c>
      <c r="I157" s="31" t="s">
        <v>784</v>
      </c>
      <c r="J157" s="34" t="s">
        <v>1</v>
      </c>
      <c r="K157" s="34" t="s">
        <v>795</v>
      </c>
      <c r="L157" s="2" t="s">
        <v>2</v>
      </c>
      <c r="M157" s="2" t="s">
        <v>3</v>
      </c>
    </row>
    <row r="158" spans="1:13">
      <c r="A158" s="55" t="str">
        <f t="shared" ref="A158:A160" si="26">A157</f>
        <v>W1UB-090</v>
      </c>
      <c r="B158" s="56" t="str">
        <f>IF(A158="","",VLOOKUP(A158,工位附件!D:E,2,FALSE))</f>
        <v>下车体补焊工位</v>
      </c>
      <c r="C158" s="30"/>
      <c r="D158" s="30"/>
      <c r="E158" s="30"/>
      <c r="F158" s="60"/>
      <c r="G158" s="60"/>
      <c r="H158" s="31" t="s">
        <v>752</v>
      </c>
      <c r="I158" s="31" t="s">
        <v>785</v>
      </c>
      <c r="J158" s="34" t="s">
        <v>1</v>
      </c>
      <c r="K158" s="34" t="s">
        <v>795</v>
      </c>
      <c r="L158" s="2" t="s">
        <v>2</v>
      </c>
      <c r="M158" s="2" t="s">
        <v>3</v>
      </c>
    </row>
    <row r="159" spans="1:13">
      <c r="A159" s="55" t="str">
        <f t="shared" si="26"/>
        <v>W1UB-090</v>
      </c>
      <c r="B159" s="56" t="str">
        <f>IF(A159="","",VLOOKUP(A159,工位附件!D:E,2,FALSE))</f>
        <v>下车体补焊工位</v>
      </c>
      <c r="C159" s="30"/>
      <c r="D159" s="30"/>
      <c r="E159" s="30"/>
      <c r="F159" s="60"/>
      <c r="G159" s="60"/>
      <c r="H159" s="31" t="s">
        <v>753</v>
      </c>
      <c r="I159" s="31" t="s">
        <v>786</v>
      </c>
      <c r="J159" s="34" t="s">
        <v>1</v>
      </c>
      <c r="K159" s="34" t="s">
        <v>795</v>
      </c>
      <c r="L159" s="2" t="s">
        <v>2</v>
      </c>
      <c r="M159" s="2" t="s">
        <v>3</v>
      </c>
    </row>
    <row r="160" spans="1:13">
      <c r="A160" s="55" t="str">
        <f t="shared" si="26"/>
        <v>W1UB-090</v>
      </c>
      <c r="B160" s="56" t="str">
        <f>IF(A160="","",VLOOKUP(A160,工位附件!D:E,2,FALSE))</f>
        <v>下车体补焊工位</v>
      </c>
      <c r="C160" s="30"/>
      <c r="D160" s="30"/>
      <c r="E160" s="30"/>
      <c r="F160" s="60"/>
      <c r="G160" s="60"/>
      <c r="H160" s="31" t="s">
        <v>754</v>
      </c>
      <c r="I160" s="31" t="s">
        <v>787</v>
      </c>
      <c r="J160" s="34" t="s">
        <v>1</v>
      </c>
      <c r="K160" s="34" t="s">
        <v>795</v>
      </c>
      <c r="L160" s="2" t="s">
        <v>2</v>
      </c>
      <c r="M160" s="2" t="s">
        <v>3</v>
      </c>
    </row>
    <row r="161" spans="1:13" ht="28.8">
      <c r="A161" s="56" t="s">
        <v>87</v>
      </c>
      <c r="B161" s="56" t="str">
        <f>IF(A161="","",VLOOKUP(A161,工位附件!D:E,2,FALSE))</f>
        <v>后轮罩外板总成-左</v>
      </c>
      <c r="C161" s="42" t="s">
        <v>973</v>
      </c>
      <c r="D161" s="42" t="s">
        <v>974</v>
      </c>
      <c r="E161" s="42">
        <v>1</v>
      </c>
      <c r="F161" s="61">
        <v>8</v>
      </c>
      <c r="G161" s="61" t="s">
        <v>975</v>
      </c>
      <c r="H161" s="41" t="s">
        <v>976</v>
      </c>
      <c r="I161" s="41" t="s">
        <v>977</v>
      </c>
      <c r="J161" s="41" t="s">
        <v>1</v>
      </c>
      <c r="K161" s="41" t="s">
        <v>1</v>
      </c>
      <c r="L161" s="2" t="s">
        <v>2</v>
      </c>
      <c r="M161" s="2" t="s">
        <v>978</v>
      </c>
    </row>
    <row r="162" spans="1:13" ht="28.8">
      <c r="A162" s="58" t="str">
        <f t="shared" ref="A162:A164" si="27">A161</f>
        <v>W1BSI4-010L</v>
      </c>
      <c r="B162" s="56" t="str">
        <f>IF(A162="","",VLOOKUP(A162,工位附件!D:E,2,FALSE))</f>
        <v>后轮罩外板总成-左</v>
      </c>
      <c r="C162" s="42" t="s">
        <v>979</v>
      </c>
      <c r="D162" s="42" t="s">
        <v>980</v>
      </c>
      <c r="E162" s="42">
        <v>1</v>
      </c>
      <c r="F162" s="62"/>
      <c r="G162" s="62"/>
      <c r="H162" s="41"/>
      <c r="I162" s="41"/>
      <c r="J162" s="41"/>
      <c r="K162" s="41"/>
      <c r="L162" s="2"/>
      <c r="M162" s="2"/>
    </row>
    <row r="163" spans="1:13" ht="28.8">
      <c r="A163" s="58" t="str">
        <f t="shared" si="27"/>
        <v>W1BSI4-010L</v>
      </c>
      <c r="B163" s="56" t="str">
        <f>IF(A163="","",VLOOKUP(A163,工位附件!D:E,2,FALSE))</f>
        <v>后轮罩外板总成-左</v>
      </c>
      <c r="C163" s="42" t="s">
        <v>981</v>
      </c>
      <c r="D163" s="42" t="s">
        <v>982</v>
      </c>
      <c r="E163" s="42">
        <v>1</v>
      </c>
      <c r="F163" s="62"/>
      <c r="G163" s="62"/>
      <c r="H163" s="43"/>
      <c r="I163" s="41"/>
      <c r="J163" s="41"/>
      <c r="K163" s="41"/>
      <c r="L163" s="2"/>
      <c r="M163" s="2"/>
    </row>
    <row r="164" spans="1:13">
      <c r="A164" s="58" t="str">
        <f t="shared" si="27"/>
        <v>W1BSI4-010L</v>
      </c>
      <c r="B164" s="56" t="str">
        <f>IF(A164="","",VLOOKUP(A164,工位附件!D:E,2,FALSE))</f>
        <v>后轮罩外板总成-左</v>
      </c>
      <c r="C164" s="42" t="s">
        <v>983</v>
      </c>
      <c r="D164" s="42" t="s">
        <v>984</v>
      </c>
      <c r="E164" s="42">
        <v>1</v>
      </c>
      <c r="F164" s="62"/>
      <c r="G164" s="62"/>
      <c r="H164" s="41"/>
      <c r="I164" s="41"/>
      <c r="J164" s="41"/>
      <c r="K164" s="41"/>
      <c r="L164" s="2"/>
      <c r="M164" s="2"/>
    </row>
    <row r="165" spans="1:13" ht="28.8">
      <c r="A165" s="55" t="s">
        <v>89</v>
      </c>
      <c r="B165" s="56" t="str">
        <f>IF(A165="","",VLOOKUP(A165,工位附件!D:E,2,FALSE))</f>
        <v>C柱内板总成合件-左</v>
      </c>
      <c r="C165" s="42" t="s">
        <v>985</v>
      </c>
      <c r="D165" s="42" t="s">
        <v>986</v>
      </c>
      <c r="E165" s="42">
        <v>1</v>
      </c>
      <c r="F165" s="60">
        <v>59</v>
      </c>
      <c r="G165" s="60" t="s">
        <v>796</v>
      </c>
      <c r="H165" s="41" t="s">
        <v>987</v>
      </c>
      <c r="I165" s="41" t="s">
        <v>988</v>
      </c>
      <c r="J165" s="41" t="s">
        <v>395</v>
      </c>
      <c r="K165" s="41" t="s">
        <v>1</v>
      </c>
      <c r="L165" s="2" t="s">
        <v>2</v>
      </c>
      <c r="M165" s="2" t="s">
        <v>978</v>
      </c>
    </row>
    <row r="166" spans="1:13" ht="28.8">
      <c r="A166" s="55" t="str">
        <f t="shared" ref="A166:A171" si="28">A165</f>
        <v>W1BSI4-020L</v>
      </c>
      <c r="B166" s="56" t="str">
        <f>IF(A166="","",VLOOKUP(A166,工位附件!D:E,2,FALSE))</f>
        <v>C柱内板总成合件-左</v>
      </c>
      <c r="C166" s="42" t="s">
        <v>989</v>
      </c>
      <c r="D166" s="42" t="s">
        <v>990</v>
      </c>
      <c r="E166" s="42">
        <v>1</v>
      </c>
      <c r="F166" s="60"/>
      <c r="G166" s="60"/>
      <c r="H166" s="41" t="s">
        <v>991</v>
      </c>
      <c r="I166" s="41" t="s">
        <v>992</v>
      </c>
      <c r="J166" s="41" t="s">
        <v>1</v>
      </c>
      <c r="K166" s="41" t="s">
        <v>1</v>
      </c>
      <c r="L166" s="2" t="s">
        <v>2</v>
      </c>
      <c r="M166" s="2" t="s">
        <v>978</v>
      </c>
    </row>
    <row r="167" spans="1:13">
      <c r="A167" s="55" t="str">
        <f t="shared" si="28"/>
        <v>W1BSI4-020L</v>
      </c>
      <c r="B167" s="56" t="str">
        <f>IF(A167="","",VLOOKUP(A167,工位附件!D:E,2,FALSE))</f>
        <v>C柱内板总成合件-左</v>
      </c>
      <c r="C167" s="42" t="s">
        <v>993</v>
      </c>
      <c r="D167" s="42" t="s">
        <v>994</v>
      </c>
      <c r="E167" s="42">
        <v>1</v>
      </c>
      <c r="F167" s="60"/>
      <c r="G167" s="60"/>
      <c r="H167" s="43" t="s">
        <v>995</v>
      </c>
      <c r="I167" s="41" t="s">
        <v>996</v>
      </c>
      <c r="J167" s="41" t="s">
        <v>1</v>
      </c>
      <c r="K167" s="41" t="s">
        <v>1</v>
      </c>
      <c r="L167" s="2" t="s">
        <v>2</v>
      </c>
      <c r="M167" s="2" t="s">
        <v>978</v>
      </c>
    </row>
    <row r="168" spans="1:13" ht="28.8">
      <c r="A168" s="55" t="str">
        <f t="shared" si="28"/>
        <v>W1BSI4-020L</v>
      </c>
      <c r="B168" s="56" t="str">
        <f>IF(A168="","",VLOOKUP(A168,工位附件!D:E,2,FALSE))</f>
        <v>C柱内板总成合件-左</v>
      </c>
      <c r="C168" s="42" t="s">
        <v>997</v>
      </c>
      <c r="D168" s="42" t="s">
        <v>998</v>
      </c>
      <c r="E168" s="42">
        <v>1</v>
      </c>
      <c r="F168" s="60"/>
      <c r="G168" s="60"/>
      <c r="H168" s="41" t="s">
        <v>999</v>
      </c>
      <c r="I168" s="41" t="s">
        <v>1000</v>
      </c>
      <c r="J168" s="41" t="s">
        <v>395</v>
      </c>
      <c r="K168" s="41" t="s">
        <v>1</v>
      </c>
      <c r="L168" s="2" t="s">
        <v>794</v>
      </c>
      <c r="M168" s="2" t="s">
        <v>978</v>
      </c>
    </row>
    <row r="169" spans="1:13" ht="28.8">
      <c r="A169" s="55" t="str">
        <f t="shared" si="28"/>
        <v>W1BSI4-020L</v>
      </c>
      <c r="B169" s="56" t="str">
        <f>IF(A169="","",VLOOKUP(A169,工位附件!D:E,2,FALSE))</f>
        <v>C柱内板总成合件-左</v>
      </c>
      <c r="C169" s="42" t="s">
        <v>1001</v>
      </c>
      <c r="D169" s="42" t="s">
        <v>1002</v>
      </c>
      <c r="E169" s="42">
        <v>1</v>
      </c>
      <c r="F169" s="60"/>
      <c r="G169" s="60"/>
      <c r="H169" s="41"/>
      <c r="I169" s="41"/>
      <c r="J169" s="41"/>
      <c r="K169" s="41"/>
      <c r="L169" s="2"/>
      <c r="M169" s="2"/>
    </row>
    <row r="170" spans="1:13" ht="28.8">
      <c r="A170" s="55" t="str">
        <f t="shared" si="28"/>
        <v>W1BSI4-020L</v>
      </c>
      <c r="B170" s="56" t="str">
        <f>IF(A170="","",VLOOKUP(A170,工位附件!D:E,2,FALSE))</f>
        <v>C柱内板总成合件-左</v>
      </c>
      <c r="C170" s="42" t="s">
        <v>1003</v>
      </c>
      <c r="D170" s="42" t="s">
        <v>1004</v>
      </c>
      <c r="E170" s="42">
        <v>1</v>
      </c>
      <c r="F170" s="60"/>
      <c r="G170" s="60"/>
      <c r="H170" s="41"/>
      <c r="I170" s="41"/>
      <c r="J170" s="41"/>
      <c r="K170" s="41"/>
      <c r="L170" s="2"/>
      <c r="M170" s="2"/>
    </row>
    <row r="171" spans="1:13" ht="28.8">
      <c r="A171" s="55" t="str">
        <f t="shared" si="28"/>
        <v>W1BSI4-020L</v>
      </c>
      <c r="B171" s="56" t="str">
        <f>IF(A171="","",VLOOKUP(A171,工位附件!D:E,2,FALSE))</f>
        <v>C柱内板总成合件-左</v>
      </c>
      <c r="C171" s="42" t="s">
        <v>1005</v>
      </c>
      <c r="D171" s="42" t="s">
        <v>1006</v>
      </c>
      <c r="E171" s="42">
        <v>1</v>
      </c>
      <c r="F171" s="60"/>
      <c r="G171" s="60"/>
      <c r="H171" s="41"/>
      <c r="I171" s="41"/>
      <c r="J171" s="41"/>
      <c r="K171" s="41"/>
      <c r="L171" s="2"/>
      <c r="M171" s="2"/>
    </row>
    <row r="172" spans="1:13" ht="28.8">
      <c r="A172" s="55" t="s">
        <v>91</v>
      </c>
      <c r="B172" s="56" t="str">
        <f>IF(A172="","",VLOOKUP(A172,工位附件!D:E,2,FALSE))</f>
        <v>C柱内板总成-左</v>
      </c>
      <c r="C172" s="42" t="s">
        <v>1007</v>
      </c>
      <c r="D172" s="42" t="s">
        <v>1008</v>
      </c>
      <c r="E172" s="42">
        <v>1</v>
      </c>
      <c r="F172" s="61">
        <v>41</v>
      </c>
      <c r="G172" s="61" t="s">
        <v>796</v>
      </c>
      <c r="H172" s="41" t="s">
        <v>1009</v>
      </c>
      <c r="I172" s="41" t="s">
        <v>1010</v>
      </c>
      <c r="J172" s="41" t="s">
        <v>1</v>
      </c>
      <c r="K172" s="41" t="s">
        <v>1</v>
      </c>
      <c r="L172" s="2" t="s">
        <v>2</v>
      </c>
      <c r="M172" s="2" t="s">
        <v>978</v>
      </c>
    </row>
    <row r="173" spans="1:13" ht="28.8">
      <c r="A173" s="55" t="str">
        <f t="shared" ref="A173:A176" si="29">A172</f>
        <v>W1BSI4-030L</v>
      </c>
      <c r="B173" s="56" t="str">
        <f>IF(A173="","",VLOOKUP(A173,工位附件!D:E,2,FALSE))</f>
        <v>C柱内板总成-左</v>
      </c>
      <c r="C173" s="42" t="s">
        <v>1011</v>
      </c>
      <c r="D173" s="42" t="s">
        <v>1012</v>
      </c>
      <c r="E173" s="42">
        <v>1</v>
      </c>
      <c r="F173" s="62"/>
      <c r="G173" s="62"/>
      <c r="H173" s="41" t="s">
        <v>1013</v>
      </c>
      <c r="I173" s="41" t="s">
        <v>1014</v>
      </c>
      <c r="J173" s="41" t="s">
        <v>1</v>
      </c>
      <c r="K173" s="41" t="s">
        <v>1</v>
      </c>
      <c r="L173" s="2" t="s">
        <v>2</v>
      </c>
      <c r="M173" s="2" t="s">
        <v>978</v>
      </c>
    </row>
    <row r="174" spans="1:13" ht="28.8">
      <c r="A174" s="55" t="str">
        <f t="shared" si="29"/>
        <v>W1BSI4-030L</v>
      </c>
      <c r="B174" s="56" t="str">
        <f>IF(A174="","",VLOOKUP(A174,工位附件!D:E,2,FALSE))</f>
        <v>C柱内板总成-左</v>
      </c>
      <c r="C174" s="42" t="s">
        <v>1015</v>
      </c>
      <c r="D174" s="42" t="s">
        <v>1016</v>
      </c>
      <c r="E174" s="42">
        <v>1</v>
      </c>
      <c r="F174" s="62"/>
      <c r="G174" s="62"/>
      <c r="H174" s="41" t="s">
        <v>1017</v>
      </c>
      <c r="I174" s="41" t="s">
        <v>1018</v>
      </c>
      <c r="J174" s="41" t="s">
        <v>1</v>
      </c>
      <c r="K174" s="41" t="s">
        <v>1</v>
      </c>
      <c r="L174" s="2" t="s">
        <v>2</v>
      </c>
      <c r="M174" s="2" t="s">
        <v>978</v>
      </c>
    </row>
    <row r="175" spans="1:13" ht="28.8">
      <c r="A175" s="55" t="str">
        <f t="shared" si="29"/>
        <v>W1BSI4-030L</v>
      </c>
      <c r="B175" s="56" t="str">
        <f>IF(A175="","",VLOOKUP(A175,工位附件!D:E,2,FALSE))</f>
        <v>C柱内板总成-左</v>
      </c>
      <c r="C175" s="42" t="s">
        <v>1019</v>
      </c>
      <c r="D175" s="42" t="s">
        <v>1020</v>
      </c>
      <c r="E175" s="42">
        <v>1</v>
      </c>
      <c r="F175" s="62"/>
      <c r="G175" s="62"/>
      <c r="H175" s="41"/>
      <c r="I175" s="41"/>
      <c r="J175" s="41"/>
      <c r="K175" s="41"/>
      <c r="L175" s="2"/>
      <c r="M175" s="2"/>
    </row>
    <row r="176" spans="1:13" ht="28.8">
      <c r="A176" s="55" t="str">
        <f t="shared" si="29"/>
        <v>W1BSI4-030L</v>
      </c>
      <c r="B176" s="56" t="str">
        <f>IF(A176="","",VLOOKUP(A176,工位附件!D:E,2,FALSE))</f>
        <v>C柱内板总成-左</v>
      </c>
      <c r="C176" s="42" t="s">
        <v>1021</v>
      </c>
      <c r="D176" s="42" t="s">
        <v>1022</v>
      </c>
      <c r="E176" s="42">
        <v>1</v>
      </c>
      <c r="F176" s="63"/>
      <c r="G176" s="63"/>
      <c r="H176" s="41"/>
      <c r="I176" s="41"/>
      <c r="J176" s="41"/>
      <c r="K176" s="41"/>
      <c r="L176" s="2"/>
      <c r="M176" s="2"/>
    </row>
    <row r="177" spans="1:13" ht="14.4" customHeight="1">
      <c r="A177" s="56" t="s">
        <v>93</v>
      </c>
      <c r="B177" s="56" t="str">
        <f>IF(A177="","",VLOOKUP(A177,工位附件!D:E,2,FALSE))</f>
        <v>C柱加强板总成-左</v>
      </c>
      <c r="C177" s="44" t="s">
        <v>1023</v>
      </c>
      <c r="D177" s="44" t="s">
        <v>1024</v>
      </c>
      <c r="E177" s="42">
        <v>1</v>
      </c>
      <c r="F177" s="61">
        <v>9</v>
      </c>
      <c r="G177" s="61" t="s">
        <v>796</v>
      </c>
      <c r="H177" s="41" t="s">
        <v>976</v>
      </c>
      <c r="I177" s="41" t="s">
        <v>977</v>
      </c>
      <c r="J177" s="41" t="s">
        <v>1</v>
      </c>
      <c r="K177" s="41" t="s">
        <v>1</v>
      </c>
      <c r="L177" s="2" t="s">
        <v>2</v>
      </c>
      <c r="M177" s="2" t="s">
        <v>978</v>
      </c>
    </row>
    <row r="178" spans="1:13">
      <c r="A178" s="58" t="str">
        <f>A177</f>
        <v>W1BSI4-040L</v>
      </c>
      <c r="B178" s="56" t="str">
        <f>IF(A178="","",VLOOKUP(A178,工位附件!D:E,2,FALSE))</f>
        <v>C柱加强板总成-左</v>
      </c>
      <c r="C178" s="44" t="s">
        <v>1025</v>
      </c>
      <c r="D178" s="44" t="s">
        <v>1026</v>
      </c>
      <c r="E178" s="42">
        <v>1</v>
      </c>
      <c r="F178" s="62"/>
      <c r="G178" s="62"/>
      <c r="H178" s="41"/>
      <c r="I178" s="41"/>
      <c r="J178" s="41"/>
      <c r="K178" s="41"/>
      <c r="L178" s="2"/>
      <c r="M178" s="2"/>
    </row>
    <row r="179" spans="1:13" ht="28.8">
      <c r="A179" s="56" t="s">
        <v>97</v>
      </c>
      <c r="B179" s="56" t="str">
        <f>IF(A179="","",VLOOKUP(A179,工位附件!D:E,2,FALSE))</f>
        <v>后侧围内板总成合件-左</v>
      </c>
      <c r="C179" s="42" t="s">
        <v>1027</v>
      </c>
      <c r="D179" s="42" t="s">
        <v>1028</v>
      </c>
      <c r="E179" s="42">
        <v>1</v>
      </c>
      <c r="F179" s="61">
        <v>24</v>
      </c>
      <c r="G179" s="61" t="s">
        <v>796</v>
      </c>
      <c r="H179" s="41" t="s">
        <v>1029</v>
      </c>
      <c r="I179" s="41" t="s">
        <v>1030</v>
      </c>
      <c r="J179" s="41" t="s">
        <v>1</v>
      </c>
      <c r="K179" s="41" t="s">
        <v>1</v>
      </c>
      <c r="L179" s="2" t="s">
        <v>2</v>
      </c>
      <c r="M179" s="2" t="s">
        <v>978</v>
      </c>
    </row>
    <row r="180" spans="1:13" ht="28.8">
      <c r="A180" s="58" t="str">
        <f>A179</f>
        <v>W1BSI4-050L</v>
      </c>
      <c r="B180" s="56" t="str">
        <f>IF(A180="","",VLOOKUP(A180,工位附件!D:E,2,FALSE))</f>
        <v>后侧围内板总成合件-左</v>
      </c>
      <c r="C180" s="42" t="s">
        <v>1031</v>
      </c>
      <c r="D180" s="42" t="s">
        <v>1032</v>
      </c>
      <c r="E180" s="42">
        <v>1</v>
      </c>
      <c r="F180" s="62"/>
      <c r="G180" s="62"/>
      <c r="H180" s="41"/>
      <c r="I180" s="41"/>
      <c r="J180" s="41"/>
      <c r="K180" s="41"/>
      <c r="L180" s="2"/>
      <c r="M180" s="2"/>
    </row>
    <row r="181" spans="1:13" ht="28.8">
      <c r="A181" s="56" t="s">
        <v>99</v>
      </c>
      <c r="B181" s="56" t="str">
        <f>IF(A181="","",VLOOKUP(A181,工位附件!D:E,2,FALSE))</f>
        <v>后侧围内板总成-左</v>
      </c>
      <c r="C181" s="42" t="s">
        <v>1033</v>
      </c>
      <c r="D181" s="42" t="s">
        <v>1024</v>
      </c>
      <c r="E181" s="42">
        <v>1</v>
      </c>
      <c r="F181" s="61">
        <v>19</v>
      </c>
      <c r="G181" s="61" t="s">
        <v>796</v>
      </c>
      <c r="H181" s="41" t="s">
        <v>1034</v>
      </c>
      <c r="I181" s="41" t="s">
        <v>1035</v>
      </c>
      <c r="J181" s="41" t="s">
        <v>1</v>
      </c>
      <c r="K181" s="41" t="s">
        <v>1</v>
      </c>
      <c r="L181" s="2" t="s">
        <v>2</v>
      </c>
      <c r="M181" s="2" t="s">
        <v>978</v>
      </c>
    </row>
    <row r="182" spans="1:13">
      <c r="A182" s="58" t="str">
        <f>A181</f>
        <v>W1BSI4-060L</v>
      </c>
      <c r="B182" s="56" t="str">
        <f>IF(A182="","",VLOOKUP(A182,工位附件!D:E,2,FALSE))</f>
        <v>后侧围内板总成-左</v>
      </c>
      <c r="C182" s="42" t="s">
        <v>1036</v>
      </c>
      <c r="D182" s="42" t="s">
        <v>1037</v>
      </c>
      <c r="E182" s="42">
        <v>1</v>
      </c>
      <c r="F182" s="62"/>
      <c r="G182" s="62"/>
      <c r="H182" s="41"/>
      <c r="I182" s="41"/>
      <c r="J182" s="41"/>
      <c r="K182" s="41"/>
      <c r="L182" s="2"/>
      <c r="M182" s="2"/>
    </row>
    <row r="183" spans="1:13" ht="28.8">
      <c r="A183" s="56" t="s">
        <v>101</v>
      </c>
      <c r="B183" s="56" t="str">
        <f>IF(A183="","",VLOOKUP(A183,工位附件!D:E,2,FALSE))</f>
        <v>后侧围内板总成-左</v>
      </c>
      <c r="C183" s="42" t="s">
        <v>1038</v>
      </c>
      <c r="D183" s="42" t="s">
        <v>1039</v>
      </c>
      <c r="E183" s="42">
        <v>1</v>
      </c>
      <c r="F183" s="61">
        <v>8</v>
      </c>
      <c r="G183" s="61" t="s">
        <v>796</v>
      </c>
      <c r="H183" s="41" t="s">
        <v>1040</v>
      </c>
      <c r="I183" s="41" t="s">
        <v>1041</v>
      </c>
      <c r="J183" s="41" t="s">
        <v>1</v>
      </c>
      <c r="K183" s="41" t="s">
        <v>1</v>
      </c>
      <c r="L183" s="2" t="s">
        <v>2</v>
      </c>
      <c r="M183" s="2" t="s">
        <v>978</v>
      </c>
    </row>
    <row r="184" spans="1:13" ht="28.8">
      <c r="A184" s="58" t="str">
        <f t="shared" ref="A184:A185" si="30">A183</f>
        <v>W1BSI4-070L</v>
      </c>
      <c r="B184" s="56" t="str">
        <f>IF(A184="","",VLOOKUP(A184,工位附件!D:E,2,FALSE))</f>
        <v>后侧围内板总成-左</v>
      </c>
      <c r="C184" s="42" t="s">
        <v>1042</v>
      </c>
      <c r="D184" s="42" t="s">
        <v>1043</v>
      </c>
      <c r="E184" s="42">
        <v>1</v>
      </c>
      <c r="F184" s="62"/>
      <c r="G184" s="62"/>
      <c r="H184" s="41"/>
      <c r="I184" s="41"/>
      <c r="J184" s="41"/>
      <c r="K184" s="41"/>
      <c r="L184" s="2"/>
      <c r="M184" s="2"/>
    </row>
    <row r="185" spans="1:13" ht="28.8">
      <c r="A185" s="58" t="str">
        <f t="shared" si="30"/>
        <v>W1BSI4-070L</v>
      </c>
      <c r="B185" s="56" t="str">
        <f>IF(A185="","",VLOOKUP(A185,工位附件!D:E,2,FALSE))</f>
        <v>后侧围内板总成-左</v>
      </c>
      <c r="C185" s="42" t="s">
        <v>1044</v>
      </c>
      <c r="D185" s="42" t="s">
        <v>1045</v>
      </c>
      <c r="E185" s="42">
        <v>1</v>
      </c>
      <c r="F185" s="62"/>
      <c r="G185" s="62"/>
      <c r="H185" s="41"/>
      <c r="I185" s="41"/>
      <c r="J185" s="41"/>
      <c r="K185" s="41"/>
      <c r="L185" s="2"/>
      <c r="M185" s="2"/>
    </row>
    <row r="186" spans="1:13" ht="14.4" customHeight="1">
      <c r="A186" s="56" t="s">
        <v>102</v>
      </c>
      <c r="B186" s="56" t="str">
        <f>IF(A186="","",VLOOKUP(A186,工位附件!D:E,2,FALSE))</f>
        <v>后侧围内板分总成-左</v>
      </c>
      <c r="C186" s="42" t="s">
        <v>1046</v>
      </c>
      <c r="D186" s="42" t="s">
        <v>1047</v>
      </c>
      <c r="E186" s="42">
        <v>1</v>
      </c>
      <c r="F186" s="61">
        <v>24</v>
      </c>
      <c r="G186" s="61" t="s">
        <v>796</v>
      </c>
      <c r="H186" s="41" t="s">
        <v>1048</v>
      </c>
      <c r="I186" s="41" t="s">
        <v>1049</v>
      </c>
      <c r="J186" s="41" t="s">
        <v>1</v>
      </c>
      <c r="K186" s="41" t="s">
        <v>1</v>
      </c>
      <c r="L186" s="2" t="s">
        <v>2</v>
      </c>
      <c r="M186" s="2" t="s">
        <v>978</v>
      </c>
    </row>
    <row r="187" spans="1:13">
      <c r="A187" s="58" t="str">
        <f>A186</f>
        <v>W1BSI4-080L</v>
      </c>
      <c r="B187" s="56" t="str">
        <f>IF(A187="","",VLOOKUP(A187,工位附件!D:E,2,FALSE))</f>
        <v>后侧围内板分总成-左</v>
      </c>
      <c r="C187" s="42" t="s">
        <v>1033</v>
      </c>
      <c r="D187" s="42" t="s">
        <v>1050</v>
      </c>
      <c r="E187" s="42">
        <v>1</v>
      </c>
      <c r="F187" s="62"/>
      <c r="G187" s="62"/>
      <c r="H187" s="41" t="s">
        <v>1051</v>
      </c>
      <c r="I187" s="41" t="s">
        <v>1052</v>
      </c>
      <c r="J187" s="41" t="s">
        <v>395</v>
      </c>
      <c r="K187" s="41" t="s">
        <v>1</v>
      </c>
      <c r="L187" s="2" t="s">
        <v>2</v>
      </c>
      <c r="M187" s="2" t="s">
        <v>978</v>
      </c>
    </row>
    <row r="188" spans="1:13" ht="28.8">
      <c r="A188" s="56" t="s">
        <v>104</v>
      </c>
      <c r="B188" s="56" t="str">
        <f>IF(A188="","",VLOOKUP(A188,工位附件!D:E,2,FALSE))</f>
        <v>后侧围内板总成-左</v>
      </c>
      <c r="C188" s="42" t="s">
        <v>1053</v>
      </c>
      <c r="D188" s="42" t="s">
        <v>1054</v>
      </c>
      <c r="E188" s="42">
        <v>1</v>
      </c>
      <c r="F188" s="61">
        <v>25</v>
      </c>
      <c r="G188" s="61" t="s">
        <v>796</v>
      </c>
      <c r="H188" s="41" t="s">
        <v>1055</v>
      </c>
      <c r="I188" s="41" t="s">
        <v>1056</v>
      </c>
      <c r="J188" s="41" t="s">
        <v>1</v>
      </c>
      <c r="K188" s="41" t="s">
        <v>1</v>
      </c>
      <c r="L188" s="2" t="s">
        <v>2</v>
      </c>
      <c r="M188" s="2" t="s">
        <v>978</v>
      </c>
    </row>
    <row r="189" spans="1:13" ht="28.8">
      <c r="A189" s="58" t="str">
        <f t="shared" ref="A189:A190" si="31">A188</f>
        <v>W1BSI4-090L</v>
      </c>
      <c r="B189" s="56" t="str">
        <f>IF(A189="","",VLOOKUP(A189,工位附件!D:E,2,FALSE))</f>
        <v>后侧围内板总成-左</v>
      </c>
      <c r="C189" s="42" t="s">
        <v>1057</v>
      </c>
      <c r="D189" s="42" t="s">
        <v>1058</v>
      </c>
      <c r="E189" s="42">
        <v>1</v>
      </c>
      <c r="F189" s="62"/>
      <c r="G189" s="62"/>
      <c r="H189" s="41" t="s">
        <v>1059</v>
      </c>
      <c r="I189" s="41" t="s">
        <v>1060</v>
      </c>
      <c r="J189" s="41" t="s">
        <v>1</v>
      </c>
      <c r="K189" s="41" t="s">
        <v>1</v>
      </c>
      <c r="L189" s="2" t="s">
        <v>2</v>
      </c>
      <c r="M189" s="2" t="s">
        <v>978</v>
      </c>
    </row>
    <row r="190" spans="1:13" ht="28.8">
      <c r="A190" s="58" t="str">
        <f t="shared" si="31"/>
        <v>W1BSI4-090L</v>
      </c>
      <c r="B190" s="56" t="str">
        <f>IF(A190="","",VLOOKUP(A190,工位附件!D:E,2,FALSE))</f>
        <v>后侧围内板总成-左</v>
      </c>
      <c r="C190" s="42" t="s">
        <v>1061</v>
      </c>
      <c r="D190" s="42" t="s">
        <v>1062</v>
      </c>
      <c r="E190" s="42">
        <v>1</v>
      </c>
      <c r="F190" s="62"/>
      <c r="G190" s="62"/>
      <c r="H190" s="41"/>
      <c r="I190" s="41"/>
      <c r="J190" s="41"/>
      <c r="K190" s="41"/>
      <c r="L190" s="2"/>
      <c r="M190" s="2"/>
    </row>
    <row r="191" spans="1:13" ht="28.8">
      <c r="A191" s="56" t="s">
        <v>105</v>
      </c>
      <c r="B191" s="56" t="str">
        <f>IF(A191="","",VLOOKUP(A191,工位附件!D:E,2,FALSE))</f>
        <v>后侧围内板总成-左</v>
      </c>
      <c r="C191" s="42" t="s">
        <v>1053</v>
      </c>
      <c r="D191" s="42" t="s">
        <v>1063</v>
      </c>
      <c r="E191" s="42">
        <v>1</v>
      </c>
      <c r="F191" s="61">
        <v>16</v>
      </c>
      <c r="G191" s="61" t="s">
        <v>796</v>
      </c>
      <c r="H191" s="41" t="s">
        <v>1064</v>
      </c>
      <c r="I191" s="41" t="s">
        <v>1065</v>
      </c>
      <c r="J191" s="41" t="s">
        <v>1</v>
      </c>
      <c r="K191" s="41" t="s">
        <v>1</v>
      </c>
      <c r="L191" s="2" t="s">
        <v>2</v>
      </c>
      <c r="M191" s="2" t="s">
        <v>978</v>
      </c>
    </row>
    <row r="192" spans="1:13">
      <c r="A192" s="58" t="str">
        <f t="shared" ref="A192:A193" si="32">A191</f>
        <v>W1BSI4-100L</v>
      </c>
      <c r="B192" s="56" t="str">
        <f>IF(A192="","",VLOOKUP(A192,工位附件!D:E,2,FALSE))</f>
        <v>后侧围内板总成-左</v>
      </c>
      <c r="C192" s="42" t="s">
        <v>1066</v>
      </c>
      <c r="D192" s="42" t="s">
        <v>1067</v>
      </c>
      <c r="E192" s="42">
        <v>1</v>
      </c>
      <c r="F192" s="62"/>
      <c r="G192" s="62"/>
      <c r="H192" s="41"/>
      <c r="I192" s="41"/>
      <c r="J192" s="41"/>
      <c r="K192" s="41"/>
      <c r="L192" s="2"/>
      <c r="M192" s="2"/>
    </row>
    <row r="193" spans="1:13">
      <c r="A193" s="58" t="str">
        <f t="shared" si="32"/>
        <v>W1BSI4-100L</v>
      </c>
      <c r="B193" s="56" t="str">
        <f>IF(A193="","",VLOOKUP(A193,工位附件!D:E,2,FALSE))</f>
        <v>后侧围内板总成-左</v>
      </c>
      <c r="C193" s="42" t="s">
        <v>1068</v>
      </c>
      <c r="D193" s="42" t="s">
        <v>1069</v>
      </c>
      <c r="E193" s="42">
        <v>1</v>
      </c>
      <c r="F193" s="62"/>
      <c r="G193" s="62"/>
      <c r="H193" s="41"/>
      <c r="I193" s="41"/>
      <c r="J193" s="41"/>
      <c r="K193" s="41"/>
      <c r="L193" s="2"/>
      <c r="M193" s="2"/>
    </row>
    <row r="194" spans="1:13" ht="28.8">
      <c r="A194" s="56" t="s">
        <v>95</v>
      </c>
      <c r="B194" s="56" t="str">
        <f>IF(A194="","",VLOOKUP(A194,工位附件!D:E,2,FALSE))</f>
        <v>尾灯盒总成-左</v>
      </c>
      <c r="C194" s="42" t="s">
        <v>1070</v>
      </c>
      <c r="D194" s="42" t="s">
        <v>1071</v>
      </c>
      <c r="E194" s="42">
        <v>1</v>
      </c>
      <c r="F194" s="61">
        <v>10</v>
      </c>
      <c r="G194" s="61" t="s">
        <v>796</v>
      </c>
      <c r="H194" s="41" t="s">
        <v>1072</v>
      </c>
      <c r="I194" s="41" t="s">
        <v>1073</v>
      </c>
      <c r="J194" s="41" t="s">
        <v>1</v>
      </c>
      <c r="K194" s="41" t="s">
        <v>1</v>
      </c>
      <c r="L194" s="2" t="s">
        <v>2</v>
      </c>
      <c r="M194" s="2" t="s">
        <v>978</v>
      </c>
    </row>
    <row r="195" spans="1:13" ht="28.8">
      <c r="A195" s="58" t="str">
        <f t="shared" ref="A195:A196" si="33">A194</f>
        <v>W1BSI4-110L</v>
      </c>
      <c r="B195" s="56" t="str">
        <f>IF(A195="","",VLOOKUP(A195,工位附件!D:E,2,FALSE))</f>
        <v>尾灯盒总成-左</v>
      </c>
      <c r="C195" s="42" t="s">
        <v>1074</v>
      </c>
      <c r="D195" s="42" t="s">
        <v>1075</v>
      </c>
      <c r="E195" s="42">
        <v>1</v>
      </c>
      <c r="F195" s="62"/>
      <c r="G195" s="62"/>
      <c r="H195" s="41" t="s">
        <v>1076</v>
      </c>
      <c r="I195" s="41" t="s">
        <v>1077</v>
      </c>
      <c r="J195" s="41" t="s">
        <v>395</v>
      </c>
      <c r="K195" s="41" t="s">
        <v>1</v>
      </c>
      <c r="L195" s="2" t="s">
        <v>2</v>
      </c>
      <c r="M195" s="2" t="s">
        <v>978</v>
      </c>
    </row>
    <row r="196" spans="1:13" ht="28.8">
      <c r="A196" s="58" t="str">
        <f t="shared" si="33"/>
        <v>W1BSI4-110L</v>
      </c>
      <c r="B196" s="56" t="str">
        <f>IF(A196="","",VLOOKUP(A196,工位附件!D:E,2,FALSE))</f>
        <v>尾灯盒总成-左</v>
      </c>
      <c r="C196" s="39" t="s">
        <v>1078</v>
      </c>
      <c r="D196" s="39" t="s">
        <v>1079</v>
      </c>
      <c r="E196" s="39">
        <v>1</v>
      </c>
      <c r="F196" s="62"/>
      <c r="G196" s="62"/>
      <c r="H196" s="40"/>
      <c r="I196" s="40"/>
      <c r="J196" s="40"/>
      <c r="K196" s="40"/>
      <c r="L196" s="46"/>
      <c r="M196" s="46"/>
    </row>
    <row r="197" spans="1:13" ht="28.8">
      <c r="A197" s="56" t="s">
        <v>107</v>
      </c>
      <c r="B197" s="56" t="str">
        <f>IF(A197="","",VLOOKUP(A197,工位附件!D:E,2,FALSE))</f>
        <v>后轮罩外板总成-右</v>
      </c>
      <c r="C197" s="42" t="s">
        <v>973</v>
      </c>
      <c r="D197" s="42" t="s">
        <v>1080</v>
      </c>
      <c r="E197" s="42">
        <v>1</v>
      </c>
      <c r="F197" s="61">
        <v>8</v>
      </c>
      <c r="G197" s="61" t="s">
        <v>796</v>
      </c>
      <c r="H197" s="41" t="s">
        <v>1081</v>
      </c>
      <c r="I197" s="41" t="s">
        <v>1082</v>
      </c>
      <c r="J197" s="41" t="s">
        <v>1</v>
      </c>
      <c r="K197" s="41" t="s">
        <v>1</v>
      </c>
      <c r="L197" s="2" t="s">
        <v>2</v>
      </c>
      <c r="M197" s="2" t="s">
        <v>978</v>
      </c>
    </row>
    <row r="198" spans="1:13" ht="28.8">
      <c r="A198" s="58" t="str">
        <f t="shared" ref="A198:A200" si="34">A197</f>
        <v>W1BSI4-010R</v>
      </c>
      <c r="B198" s="56" t="str">
        <f>IF(A198="","",VLOOKUP(A198,工位附件!D:E,2,FALSE))</f>
        <v>后轮罩外板总成-右</v>
      </c>
      <c r="C198" s="42" t="s">
        <v>979</v>
      </c>
      <c r="D198" s="42" t="s">
        <v>1083</v>
      </c>
      <c r="E198" s="42">
        <v>1</v>
      </c>
      <c r="F198" s="62"/>
      <c r="G198" s="62"/>
      <c r="H198" s="41"/>
      <c r="I198" s="41"/>
      <c r="J198" s="41"/>
      <c r="K198" s="41"/>
      <c r="L198" s="2"/>
      <c r="M198" s="2"/>
    </row>
    <row r="199" spans="1:13" ht="28.8">
      <c r="A199" s="58" t="str">
        <f t="shared" si="34"/>
        <v>W1BSI4-010R</v>
      </c>
      <c r="B199" s="56" t="str">
        <f>IF(A199="","",VLOOKUP(A199,工位附件!D:E,2,FALSE))</f>
        <v>后轮罩外板总成-右</v>
      </c>
      <c r="C199" s="42" t="s">
        <v>981</v>
      </c>
      <c r="D199" s="42" t="s">
        <v>1084</v>
      </c>
      <c r="E199" s="42">
        <v>1</v>
      </c>
      <c r="F199" s="62"/>
      <c r="G199" s="62"/>
      <c r="H199" s="41"/>
      <c r="I199" s="41"/>
      <c r="J199" s="41"/>
      <c r="K199" s="41"/>
      <c r="L199" s="2"/>
      <c r="M199" s="2"/>
    </row>
    <row r="200" spans="1:13">
      <c r="A200" s="58" t="str">
        <f t="shared" si="34"/>
        <v>W1BSI4-010R</v>
      </c>
      <c r="B200" s="56" t="str">
        <f>IF(A200="","",VLOOKUP(A200,工位附件!D:E,2,FALSE))</f>
        <v>后轮罩外板总成-右</v>
      </c>
      <c r="C200" s="42" t="s">
        <v>983</v>
      </c>
      <c r="D200" s="42" t="s">
        <v>1085</v>
      </c>
      <c r="E200" s="42">
        <v>1</v>
      </c>
      <c r="F200" s="62"/>
      <c r="G200" s="62"/>
      <c r="H200" s="41"/>
      <c r="I200" s="41"/>
      <c r="J200" s="41"/>
      <c r="K200" s="41"/>
      <c r="L200" s="2"/>
      <c r="M200" s="2"/>
    </row>
    <row r="201" spans="1:13" ht="28.8">
      <c r="A201" s="56" t="s">
        <v>109</v>
      </c>
      <c r="B201" s="56" t="str">
        <f>IF(A201="","",VLOOKUP(A201,工位附件!D:E,2,FALSE))</f>
        <v>C柱内板总成合件-右</v>
      </c>
      <c r="C201" s="42" t="s">
        <v>1086</v>
      </c>
      <c r="D201" s="42" t="s">
        <v>1087</v>
      </c>
      <c r="E201" s="42">
        <v>1</v>
      </c>
      <c r="F201" s="61">
        <v>59</v>
      </c>
      <c r="G201" s="61" t="s">
        <v>796</v>
      </c>
      <c r="H201" s="41" t="s">
        <v>1088</v>
      </c>
      <c r="I201" s="41" t="s">
        <v>996</v>
      </c>
      <c r="J201" s="41" t="s">
        <v>1</v>
      </c>
      <c r="K201" s="41" t="s">
        <v>1</v>
      </c>
      <c r="L201" s="2" t="s">
        <v>2</v>
      </c>
      <c r="M201" s="2" t="s">
        <v>978</v>
      </c>
    </row>
    <row r="202" spans="1:13" ht="28.8">
      <c r="A202" s="58" t="str">
        <f t="shared" ref="A202:A204" si="35">A201</f>
        <v>W1BSI4-020R</v>
      </c>
      <c r="B202" s="56" t="str">
        <f>IF(A202="","",VLOOKUP(A202,工位附件!D:E,2,FALSE))</f>
        <v>C柱内板总成合件-右</v>
      </c>
      <c r="C202" s="42" t="s">
        <v>1089</v>
      </c>
      <c r="D202" s="42" t="s">
        <v>1090</v>
      </c>
      <c r="E202" s="42">
        <v>1</v>
      </c>
      <c r="F202" s="62"/>
      <c r="G202" s="62"/>
      <c r="H202" s="41" t="s">
        <v>1091</v>
      </c>
      <c r="I202" s="41" t="s">
        <v>1000</v>
      </c>
      <c r="J202" s="41" t="s">
        <v>395</v>
      </c>
      <c r="K202" s="41" t="s">
        <v>1</v>
      </c>
      <c r="L202" s="2" t="s">
        <v>794</v>
      </c>
      <c r="M202" s="2" t="s">
        <v>978</v>
      </c>
    </row>
    <row r="203" spans="1:13">
      <c r="A203" s="58" t="str">
        <f t="shared" si="35"/>
        <v>W1BSI4-020R</v>
      </c>
      <c r="B203" s="56" t="str">
        <f>IF(A203="","",VLOOKUP(A203,工位附件!D:E,2,FALSE))</f>
        <v>C柱内板总成合件-右</v>
      </c>
      <c r="C203" s="42" t="s">
        <v>1092</v>
      </c>
      <c r="D203" s="42" t="s">
        <v>1093</v>
      </c>
      <c r="E203" s="42">
        <v>1</v>
      </c>
      <c r="F203" s="62"/>
      <c r="G203" s="62"/>
      <c r="H203" s="41" t="s">
        <v>1094</v>
      </c>
      <c r="I203" s="41" t="s">
        <v>1095</v>
      </c>
      <c r="J203" s="41" t="s">
        <v>395</v>
      </c>
      <c r="K203" s="41" t="s">
        <v>1</v>
      </c>
      <c r="L203" s="2" t="s">
        <v>2</v>
      </c>
      <c r="M203" s="2" t="s">
        <v>978</v>
      </c>
    </row>
    <row r="204" spans="1:13" ht="28.8">
      <c r="A204" s="58" t="str">
        <f t="shared" si="35"/>
        <v>W1BSI4-020R</v>
      </c>
      <c r="B204" s="56" t="str">
        <f>IF(A204="","",VLOOKUP(A204,工位附件!D:E,2,FALSE))</f>
        <v>C柱内板总成合件-右</v>
      </c>
      <c r="C204" s="42" t="s">
        <v>1096</v>
      </c>
      <c r="D204" s="42" t="s">
        <v>1097</v>
      </c>
      <c r="E204" s="42">
        <v>1</v>
      </c>
      <c r="F204" s="62"/>
      <c r="G204" s="62"/>
      <c r="H204" s="41" t="s">
        <v>1098</v>
      </c>
      <c r="I204" s="41" t="s">
        <v>1099</v>
      </c>
      <c r="J204" s="41" t="s">
        <v>1</v>
      </c>
      <c r="K204" s="41" t="s">
        <v>1</v>
      </c>
      <c r="L204" s="2" t="s">
        <v>2</v>
      </c>
      <c r="M204" s="2" t="s">
        <v>978</v>
      </c>
    </row>
    <row r="205" spans="1:13" ht="28.8">
      <c r="A205" s="56" t="s">
        <v>111</v>
      </c>
      <c r="B205" s="56" t="str">
        <f>IF(A205="","",VLOOKUP(A205,工位附件!D:E,2,FALSE))</f>
        <v>C柱内板总成-右</v>
      </c>
      <c r="C205" s="42" t="s">
        <v>1100</v>
      </c>
      <c r="D205" s="42" t="s">
        <v>1101</v>
      </c>
      <c r="E205" s="42">
        <v>1</v>
      </c>
      <c r="F205" s="61">
        <v>41</v>
      </c>
      <c r="G205" s="61" t="s">
        <v>796</v>
      </c>
      <c r="H205" s="41" t="s">
        <v>1102</v>
      </c>
      <c r="I205" s="41" t="s">
        <v>1010</v>
      </c>
      <c r="J205" s="41" t="s">
        <v>1</v>
      </c>
      <c r="K205" s="41" t="s">
        <v>1</v>
      </c>
      <c r="L205" s="2" t="s">
        <v>2</v>
      </c>
      <c r="M205" s="2" t="s">
        <v>978</v>
      </c>
    </row>
    <row r="206" spans="1:13" ht="28.8">
      <c r="A206" s="58" t="str">
        <f t="shared" ref="A206:A209" si="36">A205</f>
        <v>W1BSI4-030R</v>
      </c>
      <c r="B206" s="56" t="str">
        <f>IF(A206="","",VLOOKUP(A206,工位附件!D:E,2,FALSE))</f>
        <v>C柱内板总成-右</v>
      </c>
      <c r="C206" s="42" t="s">
        <v>1103</v>
      </c>
      <c r="D206" s="42" t="s">
        <v>1104</v>
      </c>
      <c r="E206" s="42">
        <v>1</v>
      </c>
      <c r="F206" s="62"/>
      <c r="G206" s="62"/>
      <c r="H206" s="41" t="s">
        <v>1105</v>
      </c>
      <c r="I206" s="41" t="s">
        <v>1106</v>
      </c>
      <c r="J206" s="41" t="s">
        <v>1</v>
      </c>
      <c r="K206" s="41" t="s">
        <v>1</v>
      </c>
      <c r="L206" s="2" t="s">
        <v>2</v>
      </c>
      <c r="M206" s="2" t="s">
        <v>978</v>
      </c>
    </row>
    <row r="207" spans="1:13" ht="28.8">
      <c r="A207" s="58" t="str">
        <f t="shared" si="36"/>
        <v>W1BSI4-030R</v>
      </c>
      <c r="B207" s="56" t="str">
        <f>IF(A207="","",VLOOKUP(A207,工位附件!D:E,2,FALSE))</f>
        <v>C柱内板总成-右</v>
      </c>
      <c r="C207" s="42" t="s">
        <v>1015</v>
      </c>
      <c r="D207" s="42" t="s">
        <v>1016</v>
      </c>
      <c r="E207" s="42">
        <v>1</v>
      </c>
      <c r="F207" s="62"/>
      <c r="G207" s="62"/>
      <c r="H207" s="41" t="s">
        <v>1107</v>
      </c>
      <c r="I207" s="41" t="s">
        <v>988</v>
      </c>
      <c r="J207" s="41" t="s">
        <v>395</v>
      </c>
      <c r="K207" s="41" t="s">
        <v>1</v>
      </c>
      <c r="L207" s="2" t="s">
        <v>2</v>
      </c>
      <c r="M207" s="2" t="s">
        <v>978</v>
      </c>
    </row>
    <row r="208" spans="1:13" ht="28.8">
      <c r="A208" s="58" t="str">
        <f t="shared" si="36"/>
        <v>W1BSI4-030R</v>
      </c>
      <c r="B208" s="56" t="str">
        <f>IF(A208="","",VLOOKUP(A208,工位附件!D:E,2,FALSE))</f>
        <v>C柱内板总成-右</v>
      </c>
      <c r="C208" s="42" t="s">
        <v>1019</v>
      </c>
      <c r="D208" s="42" t="s">
        <v>1020</v>
      </c>
      <c r="E208" s="42">
        <v>1</v>
      </c>
      <c r="F208" s="62"/>
      <c r="G208" s="62"/>
      <c r="H208" s="41" t="s">
        <v>1108</v>
      </c>
      <c r="I208" s="41" t="s">
        <v>1018</v>
      </c>
      <c r="J208" s="41" t="s">
        <v>1</v>
      </c>
      <c r="K208" s="41"/>
      <c r="L208" s="2"/>
      <c r="M208" s="2"/>
    </row>
    <row r="209" spans="1:13" ht="28.8">
      <c r="A209" s="57" t="str">
        <f t="shared" si="36"/>
        <v>W1BSI4-030R</v>
      </c>
      <c r="B209" s="56" t="str">
        <f>IF(A209="","",VLOOKUP(A209,工位附件!D:E,2,FALSE))</f>
        <v>C柱内板总成-右</v>
      </c>
      <c r="C209" s="42" t="s">
        <v>1021</v>
      </c>
      <c r="D209" s="42" t="s">
        <v>1022</v>
      </c>
      <c r="E209" s="42">
        <v>1</v>
      </c>
      <c r="F209" s="63"/>
      <c r="G209" s="63"/>
      <c r="H209" s="41"/>
      <c r="I209" s="41"/>
      <c r="J209" s="41"/>
      <c r="K209" s="41"/>
      <c r="L209" s="2"/>
      <c r="M209" s="2"/>
    </row>
    <row r="210" spans="1:13" ht="28.8">
      <c r="A210" s="56" t="s">
        <v>113</v>
      </c>
      <c r="B210" s="56" t="str">
        <f>IF(A210="","",VLOOKUP(A210,工位附件!D:E,2,FALSE))</f>
        <v>C柱加强板总成-右</v>
      </c>
      <c r="C210" s="42" t="s">
        <v>1109</v>
      </c>
      <c r="D210" s="42" t="s">
        <v>1110</v>
      </c>
      <c r="E210" s="42">
        <v>1</v>
      </c>
      <c r="F210" s="61">
        <v>9</v>
      </c>
      <c r="G210" s="61" t="s">
        <v>796</v>
      </c>
      <c r="H210" s="41" t="s">
        <v>1111</v>
      </c>
      <c r="I210" s="41" t="s">
        <v>977</v>
      </c>
      <c r="J210" s="41" t="s">
        <v>1</v>
      </c>
      <c r="K210" s="41" t="s">
        <v>1</v>
      </c>
      <c r="L210" s="2" t="s">
        <v>2</v>
      </c>
      <c r="M210" s="2" t="s">
        <v>978</v>
      </c>
    </row>
    <row r="211" spans="1:13" ht="28.8">
      <c r="A211" s="58" t="str">
        <f>A210</f>
        <v>W1BSI4-040R</v>
      </c>
      <c r="B211" s="56" t="str">
        <f>IF(A211="","",VLOOKUP(A211,工位附件!D:E,2,FALSE))</f>
        <v>C柱加强板总成-右</v>
      </c>
      <c r="C211" s="42" t="s">
        <v>1112</v>
      </c>
      <c r="D211" s="42" t="s">
        <v>1113</v>
      </c>
      <c r="E211" s="42">
        <v>1</v>
      </c>
      <c r="F211" s="62"/>
      <c r="G211" s="62"/>
      <c r="H211" s="41"/>
      <c r="I211" s="41"/>
      <c r="J211" s="41"/>
      <c r="K211" s="41"/>
      <c r="L211" s="2"/>
      <c r="M211" s="2"/>
    </row>
    <row r="212" spans="1:13" ht="28.8">
      <c r="A212" s="56" t="s">
        <v>117</v>
      </c>
      <c r="B212" s="56" t="str">
        <f>IF(A212="","",VLOOKUP(A212,工位附件!D:E,2,FALSE))</f>
        <v>后侧围内板总成合件-右</v>
      </c>
      <c r="C212" s="42" t="s">
        <v>1027</v>
      </c>
      <c r="D212" s="42" t="s">
        <v>1114</v>
      </c>
      <c r="E212" s="42">
        <v>1</v>
      </c>
      <c r="F212" s="61">
        <v>26</v>
      </c>
      <c r="G212" s="61" t="s">
        <v>796</v>
      </c>
      <c r="H212" s="41" t="s">
        <v>1115</v>
      </c>
      <c r="I212" s="41" t="s">
        <v>1116</v>
      </c>
      <c r="J212" s="41" t="s">
        <v>1</v>
      </c>
      <c r="K212" s="41" t="s">
        <v>1</v>
      </c>
      <c r="L212" s="2" t="s">
        <v>2</v>
      </c>
      <c r="M212" s="2" t="s">
        <v>978</v>
      </c>
    </row>
    <row r="213" spans="1:13" ht="28.8">
      <c r="A213" s="58" t="str">
        <f>A212</f>
        <v>W1BSI4-050R</v>
      </c>
      <c r="B213" s="56" t="str">
        <f>IF(A213="","",VLOOKUP(A213,工位附件!D:E,2,FALSE))</f>
        <v>后侧围内板总成合件-右</v>
      </c>
      <c r="C213" s="42" t="s">
        <v>1031</v>
      </c>
      <c r="D213" s="42" t="s">
        <v>1117</v>
      </c>
      <c r="E213" s="42">
        <v>1</v>
      </c>
      <c r="F213" s="62"/>
      <c r="G213" s="62"/>
      <c r="H213" s="41"/>
      <c r="I213" s="41"/>
      <c r="J213" s="41"/>
      <c r="K213" s="41"/>
      <c r="L213" s="2"/>
      <c r="M213" s="2"/>
    </row>
    <row r="214" spans="1:13" ht="28.8">
      <c r="A214" s="56" t="s">
        <v>119</v>
      </c>
      <c r="B214" s="56" t="str">
        <f>IF(A214="","",VLOOKUP(A214,工位附件!D:E,2,FALSE))</f>
        <v>后侧围内板总成-右</v>
      </c>
      <c r="C214" s="42" t="s">
        <v>1118</v>
      </c>
      <c r="D214" s="42" t="s">
        <v>1110</v>
      </c>
      <c r="E214" s="42">
        <v>1</v>
      </c>
      <c r="F214" s="61">
        <v>17</v>
      </c>
      <c r="G214" s="61" t="s">
        <v>796</v>
      </c>
      <c r="H214" s="41" t="s">
        <v>1119</v>
      </c>
      <c r="I214" s="41" t="s">
        <v>1035</v>
      </c>
      <c r="J214" s="41" t="s">
        <v>1</v>
      </c>
      <c r="K214" s="41" t="s">
        <v>1</v>
      </c>
      <c r="L214" s="2" t="s">
        <v>2</v>
      </c>
      <c r="M214" s="2" t="s">
        <v>978</v>
      </c>
    </row>
    <row r="215" spans="1:13">
      <c r="A215" s="58" t="str">
        <f>A214</f>
        <v>W1BSI4-060R</v>
      </c>
      <c r="B215" s="56" t="str">
        <f>IF(A215="","",VLOOKUP(A215,工位附件!D:E,2,FALSE))</f>
        <v>后侧围内板总成-右</v>
      </c>
      <c r="C215" s="42" t="s">
        <v>1120</v>
      </c>
      <c r="D215" s="42" t="s">
        <v>1121</v>
      </c>
      <c r="E215" s="42">
        <v>1</v>
      </c>
      <c r="F215" s="62"/>
      <c r="G215" s="62"/>
      <c r="H215" s="41"/>
      <c r="I215" s="41"/>
      <c r="J215" s="41"/>
      <c r="K215" s="41"/>
      <c r="L215" s="2"/>
      <c r="M215" s="2"/>
    </row>
    <row r="216" spans="1:13" ht="28.8">
      <c r="A216" s="56" t="s">
        <v>121</v>
      </c>
      <c r="B216" s="56" t="str">
        <f>IF(A216="","",VLOOKUP(A216,工位附件!D:E,2,FALSE))</f>
        <v>后侧围内板总成-右</v>
      </c>
      <c r="C216" s="42" t="s">
        <v>1122</v>
      </c>
      <c r="D216" s="42" t="s">
        <v>1123</v>
      </c>
      <c r="E216" s="42">
        <v>1</v>
      </c>
      <c r="F216" s="61">
        <v>8</v>
      </c>
      <c r="G216" s="61" t="s">
        <v>796</v>
      </c>
      <c r="H216" s="41" t="s">
        <v>1124</v>
      </c>
      <c r="I216" s="41" t="s">
        <v>1041</v>
      </c>
      <c r="J216" s="41" t="s">
        <v>1</v>
      </c>
      <c r="K216" s="41" t="s">
        <v>1</v>
      </c>
      <c r="L216" s="2" t="s">
        <v>2</v>
      </c>
      <c r="M216" s="2" t="s">
        <v>978</v>
      </c>
    </row>
    <row r="217" spans="1:13" ht="28.8">
      <c r="A217" s="58" t="str">
        <f t="shared" ref="A217:A218" si="37">A216</f>
        <v>W1BSI4-070R</v>
      </c>
      <c r="B217" s="56" t="str">
        <f>IF(A217="","",VLOOKUP(A217,工位附件!D:E,2,FALSE))</f>
        <v>后侧围内板总成-右</v>
      </c>
      <c r="C217" s="42" t="s">
        <v>1125</v>
      </c>
      <c r="D217" s="42" t="s">
        <v>1126</v>
      </c>
      <c r="E217" s="42">
        <v>1</v>
      </c>
      <c r="F217" s="62"/>
      <c r="G217" s="62"/>
      <c r="H217" s="41"/>
      <c r="I217" s="41"/>
      <c r="J217" s="41"/>
      <c r="K217" s="41"/>
      <c r="L217" s="2"/>
      <c r="M217" s="2"/>
    </row>
    <row r="218" spans="1:13" ht="28.8">
      <c r="A218" s="58" t="str">
        <f t="shared" si="37"/>
        <v>W1BSI4-070R</v>
      </c>
      <c r="B218" s="56" t="str">
        <f>IF(A218="","",VLOOKUP(A218,工位附件!D:E,2,FALSE))</f>
        <v>后侧围内板总成-右</v>
      </c>
      <c r="C218" s="42" t="s">
        <v>1127</v>
      </c>
      <c r="D218" s="42" t="s">
        <v>1128</v>
      </c>
      <c r="E218" s="42">
        <v>1</v>
      </c>
      <c r="F218" s="62"/>
      <c r="G218" s="62"/>
      <c r="H218" s="41"/>
      <c r="I218" s="41"/>
      <c r="J218" s="41"/>
      <c r="K218" s="41"/>
      <c r="L218" s="2"/>
      <c r="M218" s="2"/>
    </row>
    <row r="219" spans="1:13" ht="14.4" customHeight="1">
      <c r="A219" s="56" t="s">
        <v>122</v>
      </c>
      <c r="B219" s="56" t="str">
        <f>IF(A219="","",VLOOKUP(A219,工位附件!D:E,2,FALSE))</f>
        <v>后侧围内板分总成-右</v>
      </c>
      <c r="C219" s="42" t="s">
        <v>1129</v>
      </c>
      <c r="D219" s="42" t="s">
        <v>1130</v>
      </c>
      <c r="E219" s="42">
        <v>1</v>
      </c>
      <c r="F219" s="61">
        <v>24</v>
      </c>
      <c r="G219" s="61" t="s">
        <v>796</v>
      </c>
      <c r="H219" s="41" t="s">
        <v>1131</v>
      </c>
      <c r="I219" s="41" t="s">
        <v>1132</v>
      </c>
      <c r="J219" s="41" t="s">
        <v>1</v>
      </c>
      <c r="K219" s="41" t="s">
        <v>1</v>
      </c>
      <c r="L219" s="2" t="s">
        <v>2</v>
      </c>
      <c r="M219" s="2" t="s">
        <v>978</v>
      </c>
    </row>
    <row r="220" spans="1:13">
      <c r="A220" s="58" t="str">
        <f>A219</f>
        <v>W1BSI4-080R</v>
      </c>
      <c r="B220" s="56" t="str">
        <f>IF(A220="","",VLOOKUP(A220,工位附件!D:E,2,FALSE))</f>
        <v>后侧围内板分总成-右</v>
      </c>
      <c r="C220" s="42" t="s">
        <v>1133</v>
      </c>
      <c r="D220" s="42" t="s">
        <v>1134</v>
      </c>
      <c r="E220" s="42">
        <v>1</v>
      </c>
      <c r="F220" s="62"/>
      <c r="G220" s="62"/>
      <c r="H220" s="41" t="s">
        <v>1135</v>
      </c>
      <c r="I220" s="41" t="s">
        <v>1052</v>
      </c>
      <c r="J220" s="41" t="s">
        <v>395</v>
      </c>
      <c r="K220" s="41" t="s">
        <v>1</v>
      </c>
      <c r="L220" s="2" t="s">
        <v>2</v>
      </c>
      <c r="M220" s="2" t="s">
        <v>978</v>
      </c>
    </row>
    <row r="221" spans="1:13" ht="28.8">
      <c r="A221" s="56" t="s">
        <v>124</v>
      </c>
      <c r="B221" s="56" t="str">
        <f>IF(A221="","",VLOOKUP(A221,工位附件!D:E,2,FALSE))</f>
        <v>后侧围内板总成-右</v>
      </c>
      <c r="C221" s="42" t="s">
        <v>1136</v>
      </c>
      <c r="D221" s="42" t="s">
        <v>1054</v>
      </c>
      <c r="E221" s="42">
        <v>1</v>
      </c>
      <c r="F221" s="61">
        <v>25</v>
      </c>
      <c r="G221" s="61" t="s">
        <v>796</v>
      </c>
      <c r="H221" s="41" t="s">
        <v>1137</v>
      </c>
      <c r="I221" s="41" t="s">
        <v>1138</v>
      </c>
      <c r="J221" s="41" t="s">
        <v>1</v>
      </c>
      <c r="K221" s="41" t="s">
        <v>1</v>
      </c>
      <c r="L221" s="2" t="s">
        <v>2</v>
      </c>
      <c r="M221" s="2" t="s">
        <v>978</v>
      </c>
    </row>
    <row r="222" spans="1:13" ht="28.8">
      <c r="A222" s="58" t="str">
        <f t="shared" ref="A222:A223" si="38">A221</f>
        <v>W1BSI4-090R</v>
      </c>
      <c r="B222" s="56" t="str">
        <f>IF(A222="","",VLOOKUP(A222,工位附件!D:E,2,FALSE))</f>
        <v>后侧围内板总成-右</v>
      </c>
      <c r="C222" s="42" t="s">
        <v>1139</v>
      </c>
      <c r="D222" s="42" t="s">
        <v>1140</v>
      </c>
      <c r="E222" s="42">
        <v>1</v>
      </c>
      <c r="F222" s="62"/>
      <c r="G222" s="62"/>
      <c r="H222" s="41" t="s">
        <v>1141</v>
      </c>
      <c r="I222" s="41" t="s">
        <v>1060</v>
      </c>
      <c r="J222" s="41" t="s">
        <v>1</v>
      </c>
      <c r="K222" s="41" t="s">
        <v>1</v>
      </c>
      <c r="L222" s="2" t="s">
        <v>2</v>
      </c>
      <c r="M222" s="2" t="s">
        <v>978</v>
      </c>
    </row>
    <row r="223" spans="1:13" ht="28.8">
      <c r="A223" s="58" t="str">
        <f t="shared" si="38"/>
        <v>W1BSI4-090R</v>
      </c>
      <c r="B223" s="56" t="str">
        <f>IF(A223="","",VLOOKUP(A223,工位附件!D:E,2,FALSE))</f>
        <v>后侧围内板总成-右</v>
      </c>
      <c r="C223" s="42" t="s">
        <v>1142</v>
      </c>
      <c r="D223" s="42" t="s">
        <v>1143</v>
      </c>
      <c r="E223" s="42">
        <v>1</v>
      </c>
      <c r="F223" s="62"/>
      <c r="G223" s="62"/>
      <c r="H223" s="41"/>
      <c r="I223" s="41"/>
      <c r="J223" s="41"/>
      <c r="K223" s="41"/>
      <c r="L223" s="2"/>
      <c r="M223" s="2"/>
    </row>
    <row r="224" spans="1:13" ht="28.8">
      <c r="A224" s="56" t="s">
        <v>125</v>
      </c>
      <c r="B224" s="56" t="str">
        <f>IF(A224="","",VLOOKUP(A224,工位附件!D:E,2,FALSE))</f>
        <v>后侧围内板总成-右</v>
      </c>
      <c r="C224" s="42" t="s">
        <v>1136</v>
      </c>
      <c r="D224" s="42" t="s">
        <v>1144</v>
      </c>
      <c r="E224" s="42">
        <v>1</v>
      </c>
      <c r="F224" s="61">
        <v>13</v>
      </c>
      <c r="G224" s="61" t="s">
        <v>796</v>
      </c>
      <c r="H224" s="41" t="s">
        <v>1145</v>
      </c>
      <c r="I224" s="41" t="s">
        <v>1030</v>
      </c>
      <c r="J224" s="41" t="s">
        <v>1</v>
      </c>
      <c r="K224" s="41" t="s">
        <v>1</v>
      </c>
      <c r="L224" s="2" t="s">
        <v>2</v>
      </c>
      <c r="M224" s="2" t="s">
        <v>978</v>
      </c>
    </row>
    <row r="225" spans="1:13">
      <c r="A225" s="58" t="str">
        <f t="shared" ref="A225:A226" si="39">A224</f>
        <v>W1BSI4-100R</v>
      </c>
      <c r="B225" s="56" t="str">
        <f>IF(A225="","",VLOOKUP(A225,工位附件!D:E,2,FALSE))</f>
        <v>后侧围内板总成-右</v>
      </c>
      <c r="C225" s="42" t="s">
        <v>1066</v>
      </c>
      <c r="D225" s="42" t="s">
        <v>1067</v>
      </c>
      <c r="E225" s="42">
        <v>1</v>
      </c>
      <c r="F225" s="62"/>
      <c r="G225" s="62"/>
      <c r="H225" s="41" t="s">
        <v>1146</v>
      </c>
      <c r="I225" s="41" t="s">
        <v>1147</v>
      </c>
      <c r="J225" s="41"/>
      <c r="K225" s="41" t="s">
        <v>1</v>
      </c>
      <c r="L225" s="2" t="s">
        <v>2</v>
      </c>
      <c r="M225" s="2" t="s">
        <v>978</v>
      </c>
    </row>
    <row r="226" spans="1:13">
      <c r="A226" s="58" t="str">
        <f t="shared" si="39"/>
        <v>W1BSI4-100R</v>
      </c>
      <c r="B226" s="56" t="str">
        <f>IF(A226="","",VLOOKUP(A226,工位附件!D:E,2,FALSE))</f>
        <v>后侧围内板总成-右</v>
      </c>
      <c r="C226" s="42" t="s">
        <v>1068</v>
      </c>
      <c r="D226" s="42" t="s">
        <v>1069</v>
      </c>
      <c r="E226" s="42">
        <v>1</v>
      </c>
      <c r="F226" s="62"/>
      <c r="G226" s="62"/>
      <c r="H226" s="41"/>
      <c r="I226" s="41"/>
      <c r="J226" s="41"/>
      <c r="K226" s="41"/>
      <c r="L226" s="2"/>
      <c r="M226" s="2"/>
    </row>
    <row r="227" spans="1:13" ht="28.8">
      <c r="A227" s="56" t="s">
        <v>115</v>
      </c>
      <c r="B227" s="56" t="str">
        <f>IF(A227="","",VLOOKUP(A227,工位附件!D:E,2,FALSE))</f>
        <v>尾灯盒总成-右</v>
      </c>
      <c r="C227" s="42" t="s">
        <v>1148</v>
      </c>
      <c r="D227" s="42" t="s">
        <v>1149</v>
      </c>
      <c r="E227" s="42">
        <v>1</v>
      </c>
      <c r="F227" s="61">
        <v>10</v>
      </c>
      <c r="G227" s="61" t="s">
        <v>796</v>
      </c>
      <c r="H227" s="41" t="s">
        <v>1150</v>
      </c>
      <c r="I227" s="41" t="s">
        <v>1151</v>
      </c>
      <c r="J227" s="41" t="s">
        <v>1</v>
      </c>
      <c r="K227" s="41" t="s">
        <v>1</v>
      </c>
      <c r="L227" s="2" t="s">
        <v>2</v>
      </c>
      <c r="M227" s="2" t="s">
        <v>1152</v>
      </c>
    </row>
    <row r="228" spans="1:13" ht="28.8">
      <c r="A228" s="58" t="str">
        <f t="shared" ref="A228:A229" si="40">A227</f>
        <v>W1BSI4-110R</v>
      </c>
      <c r="B228" s="56" t="str">
        <f>IF(A228="","",VLOOKUP(A228,工位附件!D:E,2,FALSE))</f>
        <v>尾灯盒总成-右</v>
      </c>
      <c r="C228" s="42" t="s">
        <v>1153</v>
      </c>
      <c r="D228" s="42" t="s">
        <v>1154</v>
      </c>
      <c r="E228" s="42">
        <v>1</v>
      </c>
      <c r="F228" s="62"/>
      <c r="G228" s="62"/>
      <c r="H228" s="41" t="s">
        <v>1155</v>
      </c>
      <c r="I228" s="41" t="s">
        <v>1156</v>
      </c>
      <c r="J228" s="41" t="s">
        <v>395</v>
      </c>
      <c r="K228" s="41" t="s">
        <v>1</v>
      </c>
      <c r="L228" s="2" t="s">
        <v>2</v>
      </c>
      <c r="M228" s="2" t="s">
        <v>1152</v>
      </c>
    </row>
    <row r="229" spans="1:13" ht="28.8">
      <c r="A229" s="58" t="str">
        <f t="shared" si="40"/>
        <v>W1BSI4-110R</v>
      </c>
      <c r="B229" s="56" t="str">
        <f>IF(A229="","",VLOOKUP(A229,工位附件!D:E,2,FALSE))</f>
        <v>尾灯盒总成-右</v>
      </c>
      <c r="C229" s="42" t="s">
        <v>1157</v>
      </c>
      <c r="D229" s="42" t="s">
        <v>1158</v>
      </c>
      <c r="E229" s="42">
        <v>1</v>
      </c>
      <c r="F229" s="62"/>
      <c r="G229" s="62"/>
      <c r="H229" s="41"/>
      <c r="I229" s="41"/>
      <c r="J229" s="41"/>
      <c r="K229" s="41"/>
      <c r="L229" s="2"/>
      <c r="M229" s="2"/>
    </row>
    <row r="230" spans="1:13" ht="28.8">
      <c r="A230" s="56" t="s">
        <v>133</v>
      </c>
      <c r="B230" s="56" t="str">
        <f>IF(A230="","",VLOOKUP(A230,工位附件!D:E,2,FALSE))</f>
        <v>侧围外板总成-左焊接涂胶工位</v>
      </c>
      <c r="C230" s="42" t="s">
        <v>1159</v>
      </c>
      <c r="D230" s="42" t="s">
        <v>1160</v>
      </c>
      <c r="E230" s="42">
        <v>1</v>
      </c>
      <c r="F230" s="61">
        <v>28</v>
      </c>
      <c r="G230" s="61" t="s">
        <v>1161</v>
      </c>
      <c r="H230" s="41" t="s">
        <v>1162</v>
      </c>
      <c r="I230" s="41" t="s">
        <v>1163</v>
      </c>
      <c r="J230" s="48" t="s">
        <v>1</v>
      </c>
      <c r="K230" s="41" t="s">
        <v>1</v>
      </c>
      <c r="L230" s="2" t="s">
        <v>2</v>
      </c>
      <c r="M230" s="2" t="s">
        <v>1152</v>
      </c>
    </row>
    <row r="231" spans="1:13">
      <c r="A231" s="58" t="str">
        <f t="shared" ref="A231:A232" si="41">A230</f>
        <v>W1BS1-040L</v>
      </c>
      <c r="B231" s="56" t="str">
        <f>IF(A231="","",VLOOKUP(A231,工位附件!D:E,2,FALSE))</f>
        <v>侧围外板总成-左焊接涂胶工位</v>
      </c>
      <c r="C231" s="42"/>
      <c r="D231" s="42"/>
      <c r="E231" s="42"/>
      <c r="F231" s="62"/>
      <c r="G231" s="62"/>
      <c r="H231" s="41" t="s">
        <v>1165</v>
      </c>
      <c r="I231" s="41" t="s">
        <v>1163</v>
      </c>
      <c r="J231" s="48" t="s">
        <v>1</v>
      </c>
      <c r="K231" s="41" t="s">
        <v>1</v>
      </c>
      <c r="L231" s="2" t="s">
        <v>2</v>
      </c>
      <c r="M231" s="2" t="s">
        <v>1152</v>
      </c>
    </row>
    <row r="232" spans="1:13">
      <c r="A232" s="58" t="str">
        <f t="shared" si="41"/>
        <v>W1BS1-040L</v>
      </c>
      <c r="B232" s="56" t="str">
        <f>IF(A232="","",VLOOKUP(A232,工位附件!D:E,2,FALSE))</f>
        <v>侧围外板总成-左焊接涂胶工位</v>
      </c>
      <c r="C232" s="42"/>
      <c r="D232" s="42"/>
      <c r="E232" s="42"/>
      <c r="F232" s="62"/>
      <c r="G232" s="62"/>
      <c r="H232" s="41"/>
      <c r="I232" s="41"/>
      <c r="J232" s="48"/>
      <c r="K232" s="41"/>
      <c r="L232" s="2"/>
      <c r="M232" s="2"/>
    </row>
    <row r="233" spans="1:13" ht="28.8" customHeight="1">
      <c r="A233" s="56" t="s">
        <v>135</v>
      </c>
      <c r="B233" s="56" t="str">
        <f>IF(A233="","",VLOOKUP(A233,工位附件!D:E,2,FALSE))</f>
        <v>侧围前部总成-左/右上件焊接工位</v>
      </c>
      <c r="C233" s="42" t="s">
        <v>1159</v>
      </c>
      <c r="D233" s="42" t="s">
        <v>1160</v>
      </c>
      <c r="E233" s="42">
        <v>1</v>
      </c>
      <c r="F233" s="61">
        <v>44</v>
      </c>
      <c r="G233" s="61" t="s">
        <v>1161</v>
      </c>
      <c r="H233" s="41" t="s">
        <v>1166</v>
      </c>
      <c r="I233" s="41" t="s">
        <v>1167</v>
      </c>
      <c r="J233" s="48" t="s">
        <v>1</v>
      </c>
      <c r="K233" s="41" t="s">
        <v>1</v>
      </c>
      <c r="L233" s="2" t="s">
        <v>2</v>
      </c>
      <c r="M233" s="2" t="s">
        <v>1152</v>
      </c>
    </row>
    <row r="234" spans="1:13" ht="28.8">
      <c r="A234" s="58" t="str">
        <f t="shared" ref="A234:A235" si="42">A233</f>
        <v>W1BS1-050L</v>
      </c>
      <c r="B234" s="56" t="str">
        <f>IF(A234="","",VLOOKUP(A234,工位附件!D:E,2,FALSE))</f>
        <v>侧围前部总成-左/右上件焊接工位</v>
      </c>
      <c r="C234" s="42" t="s">
        <v>1168</v>
      </c>
      <c r="D234" s="42" t="s">
        <v>1169</v>
      </c>
      <c r="E234" s="42">
        <v>1</v>
      </c>
      <c r="F234" s="62"/>
      <c r="G234" s="62"/>
      <c r="H234" s="41" t="s">
        <v>1170</v>
      </c>
      <c r="I234" s="41" t="s">
        <v>1171</v>
      </c>
      <c r="J234" s="48" t="s">
        <v>1</v>
      </c>
      <c r="K234" s="41" t="s">
        <v>1</v>
      </c>
      <c r="L234" s="2" t="s">
        <v>2</v>
      </c>
      <c r="M234" s="2" t="s">
        <v>1152</v>
      </c>
    </row>
    <row r="235" spans="1:13" ht="28.8">
      <c r="A235" s="58" t="str">
        <f t="shared" si="42"/>
        <v>W1BS1-050L</v>
      </c>
      <c r="B235" s="56" t="str">
        <f>IF(A235="","",VLOOKUP(A235,工位附件!D:E,2,FALSE))</f>
        <v>侧围前部总成-左/右上件焊接工位</v>
      </c>
      <c r="C235" s="42" t="s">
        <v>1172</v>
      </c>
      <c r="D235" s="42" t="s">
        <v>1173</v>
      </c>
      <c r="E235" s="42">
        <v>1</v>
      </c>
      <c r="F235" s="62"/>
      <c r="G235" s="62"/>
      <c r="H235" s="41" t="s">
        <v>1174</v>
      </c>
      <c r="I235" s="41" t="s">
        <v>1175</v>
      </c>
      <c r="J235" s="48" t="s">
        <v>1</v>
      </c>
      <c r="K235" s="41" t="s">
        <v>1</v>
      </c>
      <c r="L235" s="2" t="s">
        <v>2</v>
      </c>
      <c r="M235" s="2" t="s">
        <v>1152</v>
      </c>
    </row>
    <row r="236" spans="1:13" ht="14.4" customHeight="1">
      <c r="A236" s="56" t="s">
        <v>137</v>
      </c>
      <c r="B236" s="56" t="str">
        <f>IF(A236="","",VLOOKUP(A236,工位附件!D:E,2,FALSE))</f>
        <v>后侧围内板总成总成-左/右上件焊接工位</v>
      </c>
      <c r="C236" s="42" t="s">
        <v>1176</v>
      </c>
      <c r="D236" s="42" t="s">
        <v>1177</v>
      </c>
      <c r="E236" s="42">
        <v>1</v>
      </c>
      <c r="F236" s="61">
        <v>89</v>
      </c>
      <c r="G236" s="61" t="s">
        <v>1161</v>
      </c>
      <c r="H236" s="41" t="s">
        <v>1178</v>
      </c>
      <c r="I236" s="41" t="s">
        <v>1179</v>
      </c>
      <c r="J236" s="48" t="s">
        <v>1</v>
      </c>
      <c r="K236" s="41" t="s">
        <v>1</v>
      </c>
      <c r="L236" s="2" t="s">
        <v>2</v>
      </c>
      <c r="M236" s="2" t="s">
        <v>1152</v>
      </c>
    </row>
    <row r="237" spans="1:13" ht="28.8">
      <c r="A237" s="58" t="str">
        <f t="shared" ref="A237:A239" si="43">A236</f>
        <v>W1BS1-060L</v>
      </c>
      <c r="B237" s="56" t="str">
        <f>IF(A237="","",VLOOKUP(A237,工位附件!D:E,2,FALSE))</f>
        <v>后侧围内板总成总成-左/右上件焊接工位</v>
      </c>
      <c r="C237" s="42"/>
      <c r="D237" s="42"/>
      <c r="E237" s="42"/>
      <c r="F237" s="62"/>
      <c r="G237" s="62"/>
      <c r="H237" s="41" t="s">
        <v>1180</v>
      </c>
      <c r="I237" s="41" t="s">
        <v>1181</v>
      </c>
      <c r="J237" s="48" t="s">
        <v>1</v>
      </c>
      <c r="K237" s="41" t="s">
        <v>1</v>
      </c>
      <c r="L237" s="2" t="s">
        <v>2</v>
      </c>
      <c r="M237" s="2" t="s">
        <v>1152</v>
      </c>
    </row>
    <row r="238" spans="1:13" ht="28.8">
      <c r="A238" s="58" t="str">
        <f t="shared" si="43"/>
        <v>W1BS1-060L</v>
      </c>
      <c r="B238" s="56" t="str">
        <f>IF(A238="","",VLOOKUP(A238,工位附件!D:E,2,FALSE))</f>
        <v>后侧围内板总成总成-左/右上件焊接工位</v>
      </c>
      <c r="C238" s="42"/>
      <c r="D238" s="42"/>
      <c r="E238" s="42"/>
      <c r="F238" s="62"/>
      <c r="G238" s="62"/>
      <c r="H238" s="41" t="s">
        <v>1182</v>
      </c>
      <c r="I238" s="41" t="s">
        <v>1183</v>
      </c>
      <c r="J238" s="48" t="s">
        <v>1</v>
      </c>
      <c r="K238" s="41" t="s">
        <v>1</v>
      </c>
      <c r="L238" s="2" t="s">
        <v>2</v>
      </c>
      <c r="M238" s="2" t="s">
        <v>1152</v>
      </c>
    </row>
    <row r="239" spans="1:13" ht="28.8">
      <c r="A239" s="58" t="str">
        <f t="shared" si="43"/>
        <v>W1BS1-060L</v>
      </c>
      <c r="B239" s="56" t="str">
        <f>IF(A239="","",VLOOKUP(A239,工位附件!D:E,2,FALSE))</f>
        <v>后侧围内板总成总成-左/右上件焊接工位</v>
      </c>
      <c r="C239" s="42"/>
      <c r="D239" s="42"/>
      <c r="E239" s="42"/>
      <c r="F239" s="62"/>
      <c r="G239" s="62"/>
      <c r="H239" s="41" t="s">
        <v>1184</v>
      </c>
      <c r="I239" s="41" t="s">
        <v>1185</v>
      </c>
      <c r="J239" s="48" t="s">
        <v>1</v>
      </c>
      <c r="K239" s="41" t="s">
        <v>1</v>
      </c>
      <c r="L239" s="2" t="s">
        <v>2</v>
      </c>
      <c r="M239" s="2" t="s">
        <v>1152</v>
      </c>
    </row>
    <row r="240" spans="1:13" ht="14.4" customHeight="1">
      <c r="A240" s="56" t="s">
        <v>139</v>
      </c>
      <c r="B240" s="56" t="str">
        <f>IF(A240="","",VLOOKUP(A240,工位附件!D:E,2,FALSE))</f>
        <v>侧围总成-左/右补焊工位</v>
      </c>
      <c r="C240" s="42" t="s">
        <v>1176</v>
      </c>
      <c r="D240" s="42" t="s">
        <v>1177</v>
      </c>
      <c r="E240" s="42">
        <v>1</v>
      </c>
      <c r="F240" s="61">
        <v>20</v>
      </c>
      <c r="G240" s="61" t="s">
        <v>1161</v>
      </c>
      <c r="H240" s="41" t="s">
        <v>1186</v>
      </c>
      <c r="I240" s="41" t="s">
        <v>1187</v>
      </c>
      <c r="J240" s="48" t="s">
        <v>1</v>
      </c>
      <c r="K240" s="41" t="s">
        <v>1</v>
      </c>
      <c r="L240" s="2" t="s">
        <v>2</v>
      </c>
      <c r="M240" s="2" t="s">
        <v>1152</v>
      </c>
    </row>
    <row r="241" spans="1:13">
      <c r="A241" s="58" t="str">
        <f t="shared" ref="A241:A242" si="44">A240</f>
        <v>W1BS1-070L</v>
      </c>
      <c r="B241" s="56" t="str">
        <f>IF(A241="","",VLOOKUP(A241,工位附件!D:E,2,FALSE))</f>
        <v>侧围总成-左/右补焊工位</v>
      </c>
      <c r="C241" s="42"/>
      <c r="D241" s="42"/>
      <c r="E241" s="42"/>
      <c r="F241" s="62"/>
      <c r="G241" s="62"/>
      <c r="H241" s="41"/>
      <c r="I241" s="41"/>
      <c r="J241" s="48"/>
      <c r="K241" s="41"/>
      <c r="L241" s="2"/>
      <c r="M241" s="2"/>
    </row>
    <row r="242" spans="1:13">
      <c r="A242" s="58" t="str">
        <f t="shared" si="44"/>
        <v>W1BS1-070L</v>
      </c>
      <c r="B242" s="56" t="str">
        <f>IF(A242="","",VLOOKUP(A242,工位附件!D:E,2,FALSE))</f>
        <v>侧围总成-左/右补焊工位</v>
      </c>
      <c r="C242" s="42"/>
      <c r="D242" s="42"/>
      <c r="E242" s="42"/>
      <c r="F242" s="62"/>
      <c r="G242" s="62"/>
      <c r="H242" s="41"/>
      <c r="I242" s="41"/>
      <c r="J242" s="48"/>
      <c r="K242" s="41"/>
      <c r="L242" s="2"/>
      <c r="M242" s="2"/>
    </row>
    <row r="243" spans="1:13" ht="28.8" customHeight="1">
      <c r="A243" s="56" t="s">
        <v>152</v>
      </c>
      <c r="B243" s="56" t="str">
        <f>IF(A243="","",VLOOKUP(A243,工位附件!D:E,2,FALSE))</f>
        <v>侧围外板总成-左/右焊接涂胶工位</v>
      </c>
      <c r="C243" s="42" t="s">
        <v>1188</v>
      </c>
      <c r="D243" s="42" t="s">
        <v>1189</v>
      </c>
      <c r="E243" s="42">
        <v>1</v>
      </c>
      <c r="F243" s="61">
        <v>28</v>
      </c>
      <c r="G243" s="61" t="s">
        <v>1161</v>
      </c>
      <c r="H243" s="41" t="s">
        <v>1190</v>
      </c>
      <c r="I243" s="41" t="s">
        <v>1191</v>
      </c>
      <c r="J243" s="45" t="s">
        <v>1164</v>
      </c>
      <c r="K243" s="41" t="s">
        <v>1</v>
      </c>
      <c r="L243" s="2" t="s">
        <v>2</v>
      </c>
      <c r="M243" s="2" t="s">
        <v>1152</v>
      </c>
    </row>
    <row r="244" spans="1:13">
      <c r="A244" s="58" t="str">
        <f t="shared" ref="A244:A245" si="45">A243</f>
        <v>W1BS1-040R</v>
      </c>
      <c r="B244" s="56" t="str">
        <f>IF(A244="","",VLOOKUP(A244,工位附件!D:E,2,FALSE))</f>
        <v>侧围外板总成-左/右焊接涂胶工位</v>
      </c>
      <c r="C244" s="42"/>
      <c r="D244" s="42"/>
      <c r="E244" s="42"/>
      <c r="F244" s="62"/>
      <c r="G244" s="62"/>
      <c r="H244" s="41" t="s">
        <v>1192</v>
      </c>
      <c r="I244" s="41" t="s">
        <v>1191</v>
      </c>
      <c r="J244" s="45" t="s">
        <v>1164</v>
      </c>
      <c r="K244" s="41" t="s">
        <v>1</v>
      </c>
      <c r="L244" s="2" t="s">
        <v>2</v>
      </c>
      <c r="M244" s="2" t="s">
        <v>1152</v>
      </c>
    </row>
    <row r="245" spans="1:13">
      <c r="A245" s="58" t="str">
        <f t="shared" si="45"/>
        <v>W1BS1-040R</v>
      </c>
      <c r="B245" s="56" t="str">
        <f>IF(A245="","",VLOOKUP(A245,工位附件!D:E,2,FALSE))</f>
        <v>侧围外板总成-左/右焊接涂胶工位</v>
      </c>
      <c r="C245" s="42"/>
      <c r="D245" s="42"/>
      <c r="E245" s="42"/>
      <c r="F245" s="62"/>
      <c r="G245" s="62"/>
      <c r="H245" s="41"/>
      <c r="I245" s="41"/>
      <c r="J245" s="41"/>
      <c r="K245" s="41"/>
      <c r="L245" s="2"/>
      <c r="M245" s="2"/>
    </row>
    <row r="246" spans="1:13" ht="28.8" customHeight="1">
      <c r="A246" s="56" t="s">
        <v>154</v>
      </c>
      <c r="B246" s="56" t="str">
        <f>IF(A246="","",VLOOKUP(A246,工位附件!D:E,2,FALSE))</f>
        <v>侧围前部总成-左/右上件焊接工位</v>
      </c>
      <c r="C246" s="42" t="s">
        <v>1159</v>
      </c>
      <c r="D246" s="42" t="s">
        <v>1189</v>
      </c>
      <c r="E246" s="42">
        <v>1</v>
      </c>
      <c r="F246" s="61">
        <v>31</v>
      </c>
      <c r="G246" s="61" t="s">
        <v>1161</v>
      </c>
      <c r="H246" s="41" t="s">
        <v>1193</v>
      </c>
      <c r="I246" s="41" t="s">
        <v>1194</v>
      </c>
      <c r="J246" s="48" t="s">
        <v>1</v>
      </c>
      <c r="K246" s="41" t="s">
        <v>1</v>
      </c>
      <c r="L246" s="2" t="s">
        <v>2</v>
      </c>
      <c r="M246" s="2" t="s">
        <v>1152</v>
      </c>
    </row>
    <row r="247" spans="1:13" ht="28.8">
      <c r="A247" s="58" t="str">
        <f t="shared" ref="A247:A248" si="46">A246</f>
        <v>W1BS1-050R</v>
      </c>
      <c r="B247" s="56" t="str">
        <f>IF(A247="","",VLOOKUP(A247,工位附件!D:E,2,FALSE))</f>
        <v>侧围前部总成-左/右上件焊接工位</v>
      </c>
      <c r="C247" s="42" t="s">
        <v>1168</v>
      </c>
      <c r="D247" s="42" t="s">
        <v>1195</v>
      </c>
      <c r="E247" s="42">
        <v>1</v>
      </c>
      <c r="F247" s="62"/>
      <c r="G247" s="62"/>
      <c r="H247" s="41" t="s">
        <v>1196</v>
      </c>
      <c r="I247" s="41" t="s">
        <v>1194</v>
      </c>
      <c r="J247" s="48" t="s">
        <v>1</v>
      </c>
      <c r="K247" s="41" t="s">
        <v>1</v>
      </c>
      <c r="L247" s="2" t="s">
        <v>2</v>
      </c>
      <c r="M247" s="2" t="s">
        <v>1152</v>
      </c>
    </row>
    <row r="248" spans="1:13" ht="28.8">
      <c r="A248" s="58" t="str">
        <f t="shared" si="46"/>
        <v>W1BS1-050R</v>
      </c>
      <c r="B248" s="56" t="str">
        <f>IF(A248="","",VLOOKUP(A248,工位附件!D:E,2,FALSE))</f>
        <v>侧围前部总成-左/右上件焊接工位</v>
      </c>
      <c r="C248" s="42" t="s">
        <v>1172</v>
      </c>
      <c r="D248" s="42" t="s">
        <v>1197</v>
      </c>
      <c r="E248" s="42">
        <v>1</v>
      </c>
      <c r="F248" s="62"/>
      <c r="G248" s="62"/>
      <c r="H248" s="41" t="s">
        <v>1198</v>
      </c>
      <c r="I248" s="41" t="s">
        <v>1199</v>
      </c>
      <c r="J248" s="48" t="s">
        <v>1</v>
      </c>
      <c r="K248" s="41" t="s">
        <v>1</v>
      </c>
      <c r="L248" s="2" t="s">
        <v>2</v>
      </c>
      <c r="M248" s="2" t="s">
        <v>1152</v>
      </c>
    </row>
    <row r="249" spans="1:13" ht="14.4" customHeight="1">
      <c r="A249" s="56" t="s">
        <v>155</v>
      </c>
      <c r="B249" s="56" t="str">
        <f>IF(A249="","",VLOOKUP(A249,工位附件!D:E,2,FALSE))</f>
        <v>后侧围内板总成总成-左/右上件焊接工位</v>
      </c>
      <c r="C249" s="42" t="s">
        <v>1200</v>
      </c>
      <c r="D249" s="42" t="s">
        <v>1201</v>
      </c>
      <c r="E249" s="42">
        <v>1</v>
      </c>
      <c r="F249" s="61">
        <v>87</v>
      </c>
      <c r="G249" s="61" t="s">
        <v>1161</v>
      </c>
      <c r="H249" s="41" t="s">
        <v>1202</v>
      </c>
      <c r="I249" s="41" t="s">
        <v>1203</v>
      </c>
      <c r="J249" s="48" t="s">
        <v>1</v>
      </c>
      <c r="K249" s="41" t="s">
        <v>1</v>
      </c>
      <c r="L249" s="2" t="s">
        <v>2</v>
      </c>
      <c r="M249" s="2" t="s">
        <v>1152</v>
      </c>
    </row>
    <row r="250" spans="1:13" ht="28.8">
      <c r="A250" s="58" t="str">
        <f t="shared" ref="A250:A252" si="47">A249</f>
        <v>W1BS1-060R</v>
      </c>
      <c r="B250" s="56" t="str">
        <f>IF(A250="","",VLOOKUP(A250,工位附件!D:E,2,FALSE))</f>
        <v>后侧围内板总成总成-左/右上件焊接工位</v>
      </c>
      <c r="C250" s="42"/>
      <c r="D250" s="42"/>
      <c r="E250" s="42"/>
      <c r="F250" s="62"/>
      <c r="G250" s="62"/>
      <c r="H250" s="41" t="s">
        <v>1204</v>
      </c>
      <c r="I250" s="41" t="s">
        <v>1205</v>
      </c>
      <c r="J250" s="48" t="s">
        <v>1</v>
      </c>
      <c r="K250" s="41" t="s">
        <v>1</v>
      </c>
      <c r="L250" s="2" t="s">
        <v>2</v>
      </c>
      <c r="M250" s="2" t="s">
        <v>1152</v>
      </c>
    </row>
    <row r="251" spans="1:13" ht="28.8">
      <c r="A251" s="58" t="str">
        <f t="shared" si="47"/>
        <v>W1BS1-060R</v>
      </c>
      <c r="B251" s="56" t="str">
        <f>IF(A251="","",VLOOKUP(A251,工位附件!D:E,2,FALSE))</f>
        <v>后侧围内板总成总成-左/右上件焊接工位</v>
      </c>
      <c r="C251" s="42"/>
      <c r="D251" s="42"/>
      <c r="E251" s="42"/>
      <c r="F251" s="62"/>
      <c r="G251" s="62"/>
      <c r="H251" s="41" t="s">
        <v>1206</v>
      </c>
      <c r="I251" s="41" t="s">
        <v>1207</v>
      </c>
      <c r="J251" s="48" t="s">
        <v>1</v>
      </c>
      <c r="K251" s="41" t="s">
        <v>1</v>
      </c>
      <c r="L251" s="2" t="s">
        <v>2</v>
      </c>
      <c r="M251" s="2" t="s">
        <v>1152</v>
      </c>
    </row>
    <row r="252" spans="1:13" ht="28.8">
      <c r="A252" s="58" t="str">
        <f t="shared" si="47"/>
        <v>W1BS1-060R</v>
      </c>
      <c r="B252" s="56" t="str">
        <f>IF(A252="","",VLOOKUP(A252,工位附件!D:E,2,FALSE))</f>
        <v>后侧围内板总成总成-左/右上件焊接工位</v>
      </c>
      <c r="C252" s="42"/>
      <c r="D252" s="42"/>
      <c r="E252" s="42"/>
      <c r="F252" s="62"/>
      <c r="G252" s="62"/>
      <c r="H252" s="41" t="s">
        <v>1208</v>
      </c>
      <c r="I252" s="41" t="s">
        <v>1209</v>
      </c>
      <c r="J252" s="48" t="s">
        <v>1</v>
      </c>
      <c r="K252" s="41" t="s">
        <v>1</v>
      </c>
      <c r="L252" s="2" t="s">
        <v>2</v>
      </c>
      <c r="M252" s="2" t="s">
        <v>1152</v>
      </c>
    </row>
    <row r="253" spans="1:13" ht="14.4" customHeight="1">
      <c r="A253" s="56" t="s">
        <v>156</v>
      </c>
      <c r="B253" s="56" t="str">
        <f>IF(A253="","",VLOOKUP(A253,工位附件!D:E,2,FALSE))</f>
        <v>侧围总成-左/右补焊工位</v>
      </c>
      <c r="C253" s="42" t="s">
        <v>1200</v>
      </c>
      <c r="D253" s="42" t="s">
        <v>1201</v>
      </c>
      <c r="E253" s="42">
        <v>1</v>
      </c>
      <c r="F253" s="61">
        <v>21</v>
      </c>
      <c r="G253" s="61" t="s">
        <v>1161</v>
      </c>
      <c r="H253" s="41" t="s">
        <v>1210</v>
      </c>
      <c r="I253" s="41" t="s">
        <v>1211</v>
      </c>
      <c r="J253" s="48" t="s">
        <v>1</v>
      </c>
      <c r="K253" s="41" t="s">
        <v>1</v>
      </c>
      <c r="L253" s="2" t="s">
        <v>2</v>
      </c>
      <c r="M253" s="2" t="s">
        <v>1152</v>
      </c>
    </row>
    <row r="254" spans="1:13">
      <c r="A254" s="58" t="str">
        <f t="shared" ref="A254:A255" si="48">A253</f>
        <v>W1BS1-070R</v>
      </c>
      <c r="B254" s="56" t="str">
        <f>IF(A254="","",VLOOKUP(A254,工位附件!D:E,2,FALSE))</f>
        <v>侧围总成-左/右补焊工位</v>
      </c>
      <c r="C254" s="42"/>
      <c r="D254" s="42"/>
      <c r="E254" s="42"/>
      <c r="F254" s="62"/>
      <c r="G254" s="62"/>
      <c r="H254" s="41"/>
      <c r="I254" s="41"/>
      <c r="J254" s="48"/>
      <c r="K254" s="41"/>
      <c r="L254" s="2"/>
      <c r="M254" s="2"/>
    </row>
    <row r="255" spans="1:13">
      <c r="A255" s="58" t="str">
        <f t="shared" si="48"/>
        <v>W1BS1-070R</v>
      </c>
      <c r="B255" s="56" t="str">
        <f>IF(A255="","",VLOOKUP(A255,工位附件!D:E,2,FALSE))</f>
        <v>侧围总成-左/右补焊工位</v>
      </c>
      <c r="C255" s="42"/>
      <c r="D255" s="42"/>
      <c r="E255" s="42"/>
      <c r="F255" s="62"/>
      <c r="G255" s="62"/>
      <c r="H255" s="41"/>
      <c r="I255" s="41"/>
      <c r="J255" s="48"/>
      <c r="K255" s="41"/>
      <c r="L255" s="2"/>
      <c r="M255" s="2"/>
    </row>
    <row r="256" spans="1:13" ht="43.2">
      <c r="A256" s="56" t="s">
        <v>191</v>
      </c>
      <c r="B256" s="56" t="str">
        <f>IF(A256="","",VLOOKUP(A256,工位附件!D:E,2,FALSE))</f>
        <v>前防撞梁安装组件、翼子板支架人工焊接</v>
      </c>
      <c r="C256" s="42" t="s">
        <v>1212</v>
      </c>
      <c r="D256" s="42" t="s">
        <v>1213</v>
      </c>
      <c r="E256" s="42">
        <v>1</v>
      </c>
      <c r="F256" s="61">
        <v>20</v>
      </c>
      <c r="G256" s="61" t="s">
        <v>1161</v>
      </c>
      <c r="H256" s="42" t="s">
        <v>1214</v>
      </c>
      <c r="I256" s="42" t="s">
        <v>1215</v>
      </c>
      <c r="J256" s="41" t="s">
        <v>1</v>
      </c>
      <c r="K256" s="41" t="s">
        <v>1</v>
      </c>
      <c r="L256" s="2" t="s">
        <v>794</v>
      </c>
      <c r="M256" s="2" t="s">
        <v>1152</v>
      </c>
    </row>
    <row r="257" spans="1:13" ht="28.8">
      <c r="A257" s="58" t="str">
        <f t="shared" ref="A257:A262" si="49">A256</f>
        <v>W1MB-030</v>
      </c>
      <c r="B257" s="56" t="str">
        <f>IF(A257="","",VLOOKUP(A257,工位附件!D:E,2,FALSE))</f>
        <v>前防撞梁安装组件、翼子板支架人工焊接</v>
      </c>
      <c r="C257" s="42" t="s">
        <v>1216</v>
      </c>
      <c r="D257" s="42" t="s">
        <v>1217</v>
      </c>
      <c r="E257" s="42">
        <v>1</v>
      </c>
      <c r="F257" s="62"/>
      <c r="G257" s="62"/>
      <c r="H257" s="42" t="s">
        <v>1218</v>
      </c>
      <c r="I257" s="42" t="s">
        <v>1219</v>
      </c>
      <c r="J257" s="41" t="s">
        <v>1</v>
      </c>
      <c r="K257" s="41" t="s">
        <v>1</v>
      </c>
      <c r="L257" s="2" t="s">
        <v>794</v>
      </c>
      <c r="M257" s="2" t="s">
        <v>1152</v>
      </c>
    </row>
    <row r="258" spans="1:13" ht="28.8">
      <c r="A258" s="58" t="str">
        <f t="shared" si="49"/>
        <v>W1MB-030</v>
      </c>
      <c r="B258" s="56" t="str">
        <f>IF(A258="","",VLOOKUP(A258,工位附件!D:E,2,FALSE))</f>
        <v>前防撞梁安装组件、翼子板支架人工焊接</v>
      </c>
      <c r="C258" s="42" t="s">
        <v>1220</v>
      </c>
      <c r="D258" s="42" t="s">
        <v>1221</v>
      </c>
      <c r="E258" s="42">
        <v>1</v>
      </c>
      <c r="F258" s="62"/>
      <c r="G258" s="62"/>
      <c r="H258" s="42" t="s">
        <v>1222</v>
      </c>
      <c r="I258" s="42" t="s">
        <v>1223</v>
      </c>
      <c r="J258" s="41" t="s">
        <v>1</v>
      </c>
      <c r="K258" s="41" t="s">
        <v>1</v>
      </c>
      <c r="L258" s="2" t="s">
        <v>794</v>
      </c>
      <c r="M258" s="2" t="s">
        <v>1152</v>
      </c>
    </row>
    <row r="259" spans="1:13" ht="28.8">
      <c r="A259" s="58" t="str">
        <f t="shared" si="49"/>
        <v>W1MB-030</v>
      </c>
      <c r="B259" s="56" t="str">
        <f>IF(A259="","",VLOOKUP(A259,工位附件!D:E,2,FALSE))</f>
        <v>前防撞梁安装组件、翼子板支架人工焊接</v>
      </c>
      <c r="C259" s="42" t="s">
        <v>1224</v>
      </c>
      <c r="D259" s="42" t="s">
        <v>1225</v>
      </c>
      <c r="E259" s="42">
        <v>1</v>
      </c>
      <c r="F259" s="62"/>
      <c r="G259" s="62"/>
      <c r="H259" s="42" t="s">
        <v>1226</v>
      </c>
      <c r="I259" s="42" t="s">
        <v>1227</v>
      </c>
      <c r="J259" s="41" t="s">
        <v>1</v>
      </c>
      <c r="K259" s="41" t="s">
        <v>1</v>
      </c>
      <c r="L259" s="2" t="s">
        <v>794</v>
      </c>
      <c r="M259" s="2" t="s">
        <v>1152</v>
      </c>
    </row>
    <row r="260" spans="1:13" ht="28.8">
      <c r="A260" s="58" t="str">
        <f t="shared" si="49"/>
        <v>W1MB-030</v>
      </c>
      <c r="B260" s="56" t="str">
        <f>IF(A260="","",VLOOKUP(A260,工位附件!D:E,2,FALSE))</f>
        <v>前防撞梁安装组件、翼子板支架人工焊接</v>
      </c>
      <c r="C260" s="42" t="s">
        <v>1228</v>
      </c>
      <c r="D260" s="42" t="s">
        <v>1229</v>
      </c>
      <c r="E260" s="42">
        <v>1</v>
      </c>
      <c r="F260" s="62"/>
      <c r="G260" s="62"/>
      <c r="H260" s="41"/>
      <c r="I260" s="41"/>
      <c r="J260" s="41"/>
      <c r="K260" s="41"/>
      <c r="L260" s="2"/>
      <c r="M260" s="2"/>
    </row>
    <row r="261" spans="1:13" ht="28.8">
      <c r="A261" s="58" t="str">
        <f t="shared" si="49"/>
        <v>W1MB-030</v>
      </c>
      <c r="B261" s="56" t="str">
        <f>IF(A261="","",VLOOKUP(A261,工位附件!D:E,2,FALSE))</f>
        <v>前防撞梁安装组件、翼子板支架人工焊接</v>
      </c>
      <c r="C261" s="42" t="s">
        <v>1230</v>
      </c>
      <c r="D261" s="42" t="s">
        <v>1231</v>
      </c>
      <c r="E261" s="42">
        <v>1</v>
      </c>
      <c r="F261" s="62"/>
      <c r="G261" s="62"/>
      <c r="H261" s="41"/>
      <c r="I261" s="41"/>
      <c r="J261" s="41"/>
      <c r="K261" s="41"/>
      <c r="L261" s="2"/>
      <c r="M261" s="2"/>
    </row>
    <row r="262" spans="1:13" ht="28.8">
      <c r="A262" s="58" t="str">
        <f t="shared" si="49"/>
        <v>W1MB-030</v>
      </c>
      <c r="B262" s="56" t="str">
        <f>IF(A262="","",VLOOKUP(A262,工位附件!D:E,2,FALSE))</f>
        <v>前防撞梁安装组件、翼子板支架人工焊接</v>
      </c>
      <c r="C262" s="42" t="s">
        <v>1232</v>
      </c>
      <c r="D262" s="42" t="s">
        <v>1233</v>
      </c>
      <c r="E262" s="42">
        <v>1</v>
      </c>
      <c r="F262" s="62"/>
      <c r="G262" s="62"/>
      <c r="H262" s="41"/>
      <c r="I262" s="41"/>
      <c r="J262" s="41"/>
      <c r="K262" s="41"/>
      <c r="L262" s="2"/>
      <c r="M262" s="2"/>
    </row>
    <row r="263" spans="1:13" ht="28.8">
      <c r="A263" s="56" t="s">
        <v>197</v>
      </c>
      <c r="B263" s="56" t="str">
        <f>IF(A263="","",VLOOKUP(A263,工位附件!D:E,2,FALSE))</f>
        <v>总拼工位</v>
      </c>
      <c r="C263" s="42" t="s">
        <v>1234</v>
      </c>
      <c r="D263" s="42" t="s">
        <v>1235</v>
      </c>
      <c r="E263" s="42">
        <v>1</v>
      </c>
      <c r="F263" s="61">
        <v>86</v>
      </c>
      <c r="G263" s="61" t="s">
        <v>1161</v>
      </c>
      <c r="H263" s="41" t="s">
        <v>1236</v>
      </c>
      <c r="I263" s="41" t="s">
        <v>1237</v>
      </c>
      <c r="J263" s="41" t="s">
        <v>1</v>
      </c>
      <c r="K263" s="41" t="s">
        <v>795</v>
      </c>
      <c r="L263" s="2" t="s">
        <v>794</v>
      </c>
      <c r="M263" s="2" t="s">
        <v>1152</v>
      </c>
    </row>
    <row r="264" spans="1:13" ht="28.8">
      <c r="A264" s="58" t="str">
        <f t="shared" ref="A264:A272" si="50">A263</f>
        <v>W1MB-140</v>
      </c>
      <c r="B264" s="56" t="str">
        <f>IF(A264="","",VLOOKUP(A264,工位附件!D:E,2,FALSE))</f>
        <v>总拼工位</v>
      </c>
      <c r="C264" s="42" t="s">
        <v>1238</v>
      </c>
      <c r="D264" s="42" t="s">
        <v>1239</v>
      </c>
      <c r="E264" s="42">
        <v>1</v>
      </c>
      <c r="F264" s="62"/>
      <c r="G264" s="62"/>
      <c r="H264" s="41" t="s">
        <v>1240</v>
      </c>
      <c r="I264" s="41" t="s">
        <v>1241</v>
      </c>
      <c r="J264" s="41" t="s">
        <v>1</v>
      </c>
      <c r="K264" s="41" t="s">
        <v>795</v>
      </c>
      <c r="L264" s="2" t="s">
        <v>794</v>
      </c>
      <c r="M264" s="2" t="s">
        <v>1152</v>
      </c>
    </row>
    <row r="265" spans="1:13">
      <c r="A265" s="58" t="str">
        <f t="shared" si="50"/>
        <v>W1MB-140</v>
      </c>
      <c r="B265" s="56" t="str">
        <f>IF(A265="","",VLOOKUP(A265,工位附件!D:E,2,FALSE))</f>
        <v>总拼工位</v>
      </c>
      <c r="C265" s="42"/>
      <c r="D265" s="42"/>
      <c r="E265" s="42"/>
      <c r="F265" s="62"/>
      <c r="G265" s="62"/>
      <c r="H265" s="41" t="s">
        <v>1242</v>
      </c>
      <c r="I265" s="41" t="s">
        <v>1243</v>
      </c>
      <c r="J265" s="41" t="s">
        <v>1</v>
      </c>
      <c r="K265" s="41" t="s">
        <v>795</v>
      </c>
      <c r="L265" s="2" t="s">
        <v>794</v>
      </c>
      <c r="M265" s="2" t="s">
        <v>1152</v>
      </c>
    </row>
    <row r="266" spans="1:13">
      <c r="A266" s="58" t="str">
        <f t="shared" si="50"/>
        <v>W1MB-140</v>
      </c>
      <c r="B266" s="56" t="str">
        <f>IF(A266="","",VLOOKUP(A266,工位附件!D:E,2,FALSE))</f>
        <v>总拼工位</v>
      </c>
      <c r="C266" s="42"/>
      <c r="D266" s="42"/>
      <c r="E266" s="42"/>
      <c r="F266" s="62"/>
      <c r="G266" s="62"/>
      <c r="H266" s="41" t="s">
        <v>1244</v>
      </c>
      <c r="I266" s="41" t="s">
        <v>1245</v>
      </c>
      <c r="J266" s="41" t="s">
        <v>1</v>
      </c>
      <c r="K266" s="41" t="s">
        <v>795</v>
      </c>
      <c r="L266" s="2" t="s">
        <v>794</v>
      </c>
      <c r="M266" s="2" t="s">
        <v>1152</v>
      </c>
    </row>
    <row r="267" spans="1:13">
      <c r="A267" s="58" t="str">
        <f t="shared" si="50"/>
        <v>W1MB-140</v>
      </c>
      <c r="B267" s="56" t="str">
        <f>IF(A267="","",VLOOKUP(A267,工位附件!D:E,2,FALSE))</f>
        <v>总拼工位</v>
      </c>
      <c r="C267" s="42"/>
      <c r="D267" s="42"/>
      <c r="E267" s="42"/>
      <c r="F267" s="62"/>
      <c r="G267" s="62"/>
      <c r="H267" s="41" t="s">
        <v>1246</v>
      </c>
      <c r="I267" s="41" t="s">
        <v>1243</v>
      </c>
      <c r="J267" s="41" t="s">
        <v>1</v>
      </c>
      <c r="K267" s="41" t="s">
        <v>795</v>
      </c>
      <c r="L267" s="2" t="s">
        <v>794</v>
      </c>
      <c r="M267" s="2" t="s">
        <v>1152</v>
      </c>
    </row>
    <row r="268" spans="1:13">
      <c r="A268" s="58" t="str">
        <f t="shared" si="50"/>
        <v>W1MB-140</v>
      </c>
      <c r="B268" s="56" t="str">
        <f>IF(A268="","",VLOOKUP(A268,工位附件!D:E,2,FALSE))</f>
        <v>总拼工位</v>
      </c>
      <c r="C268" s="42"/>
      <c r="D268" s="42"/>
      <c r="E268" s="42"/>
      <c r="F268" s="62"/>
      <c r="G268" s="62"/>
      <c r="H268" s="41" t="s">
        <v>1247</v>
      </c>
      <c r="I268" s="41" t="s">
        <v>1245</v>
      </c>
      <c r="J268" s="41" t="s">
        <v>1</v>
      </c>
      <c r="K268" s="41" t="s">
        <v>795</v>
      </c>
      <c r="L268" s="2" t="s">
        <v>794</v>
      </c>
      <c r="M268" s="2" t="s">
        <v>1152</v>
      </c>
    </row>
    <row r="269" spans="1:13">
      <c r="A269" s="58" t="str">
        <f t="shared" si="50"/>
        <v>W1MB-140</v>
      </c>
      <c r="B269" s="56" t="str">
        <f>IF(A269="","",VLOOKUP(A269,工位附件!D:E,2,FALSE))</f>
        <v>总拼工位</v>
      </c>
      <c r="C269" s="42"/>
      <c r="D269" s="42"/>
      <c r="E269" s="42"/>
      <c r="F269" s="62"/>
      <c r="G269" s="62"/>
      <c r="H269" s="41">
        <v>1421</v>
      </c>
      <c r="I269" s="41" t="s">
        <v>1248</v>
      </c>
      <c r="J269" s="41" t="s">
        <v>1</v>
      </c>
      <c r="K269" s="41" t="s">
        <v>795</v>
      </c>
      <c r="L269" s="2" t="s">
        <v>2</v>
      </c>
      <c r="M269" s="2" t="s">
        <v>1152</v>
      </c>
    </row>
    <row r="270" spans="1:13">
      <c r="A270" s="58" t="str">
        <f t="shared" si="50"/>
        <v>W1MB-140</v>
      </c>
      <c r="B270" s="56" t="str">
        <f>IF(A270="","",VLOOKUP(A270,工位附件!D:E,2,FALSE))</f>
        <v>总拼工位</v>
      </c>
      <c r="C270" s="42"/>
      <c r="D270" s="42"/>
      <c r="E270" s="42"/>
      <c r="F270" s="62"/>
      <c r="G270" s="62"/>
      <c r="H270" s="41">
        <v>1422</v>
      </c>
      <c r="I270" s="41" t="s">
        <v>1249</v>
      </c>
      <c r="J270" s="41" t="s">
        <v>1</v>
      </c>
      <c r="K270" s="41" t="s">
        <v>795</v>
      </c>
      <c r="L270" s="2" t="s">
        <v>2</v>
      </c>
      <c r="M270" s="2" t="s">
        <v>1152</v>
      </c>
    </row>
    <row r="271" spans="1:13">
      <c r="A271" s="58" t="str">
        <f t="shared" si="50"/>
        <v>W1MB-140</v>
      </c>
      <c r="B271" s="56" t="str">
        <f>IF(A271="","",VLOOKUP(A271,工位附件!D:E,2,FALSE))</f>
        <v>总拼工位</v>
      </c>
      <c r="C271" s="42"/>
      <c r="D271" s="42"/>
      <c r="E271" s="42"/>
      <c r="F271" s="62"/>
      <c r="G271" s="62"/>
      <c r="H271" s="41">
        <v>1423</v>
      </c>
      <c r="I271" s="41" t="s">
        <v>1250</v>
      </c>
      <c r="J271" s="41" t="s">
        <v>1</v>
      </c>
      <c r="K271" s="41" t="s">
        <v>795</v>
      </c>
      <c r="L271" s="2" t="s">
        <v>2</v>
      </c>
      <c r="M271" s="2" t="s">
        <v>1152</v>
      </c>
    </row>
    <row r="272" spans="1:13">
      <c r="A272" s="58" t="str">
        <f t="shared" si="50"/>
        <v>W1MB-140</v>
      </c>
      <c r="B272" s="56" t="str">
        <f>IF(A272="","",VLOOKUP(A272,工位附件!D:E,2,FALSE))</f>
        <v>总拼工位</v>
      </c>
      <c r="C272" s="42"/>
      <c r="D272" s="42"/>
      <c r="E272" s="42"/>
      <c r="F272" s="62"/>
      <c r="G272" s="62"/>
      <c r="H272" s="41">
        <v>1424</v>
      </c>
      <c r="I272" s="41" t="s">
        <v>1251</v>
      </c>
      <c r="J272" s="41" t="s">
        <v>1</v>
      </c>
      <c r="K272" s="41" t="s">
        <v>795</v>
      </c>
      <c r="L272" s="2" t="s">
        <v>2</v>
      </c>
      <c r="M272" s="2" t="s">
        <v>1152</v>
      </c>
    </row>
    <row r="273" spans="1:13" ht="28.8">
      <c r="A273" s="56" t="s">
        <v>199</v>
      </c>
      <c r="B273" s="56" t="str">
        <f>IF(A273="","",VLOOKUP(A273,工位附件!D:E,2,FALSE))</f>
        <v>车身补焊工位</v>
      </c>
      <c r="C273" s="42" t="s">
        <v>1234</v>
      </c>
      <c r="D273" s="42" t="s">
        <v>1235</v>
      </c>
      <c r="E273" s="42">
        <v>1</v>
      </c>
      <c r="F273" s="61">
        <v>89</v>
      </c>
      <c r="G273" s="61" t="s">
        <v>1161</v>
      </c>
      <c r="H273" s="41" t="s">
        <v>1252</v>
      </c>
      <c r="I273" s="41" t="s">
        <v>1253</v>
      </c>
      <c r="J273" s="41" t="s">
        <v>1</v>
      </c>
      <c r="K273" s="41" t="s">
        <v>795</v>
      </c>
      <c r="L273" s="2" t="s">
        <v>2</v>
      </c>
      <c r="M273" s="2" t="s">
        <v>1152</v>
      </c>
    </row>
    <row r="274" spans="1:13" ht="28.8">
      <c r="A274" s="58" t="str">
        <f t="shared" ref="A274:A276" si="51">A273</f>
        <v>W1MB-160</v>
      </c>
      <c r="B274" s="56" t="str">
        <f>IF(A274="","",VLOOKUP(A274,工位附件!D:E,2,FALSE))</f>
        <v>车身补焊工位</v>
      </c>
      <c r="C274" s="42" t="s">
        <v>1238</v>
      </c>
      <c r="D274" s="42" t="s">
        <v>1239</v>
      </c>
      <c r="E274" s="42">
        <v>1</v>
      </c>
      <c r="F274" s="62"/>
      <c r="G274" s="62"/>
      <c r="H274" s="41" t="s">
        <v>1254</v>
      </c>
      <c r="I274" s="41" t="s">
        <v>1255</v>
      </c>
      <c r="J274" s="41" t="s">
        <v>1</v>
      </c>
      <c r="K274" s="41" t="s">
        <v>795</v>
      </c>
      <c r="L274" s="2" t="s">
        <v>2</v>
      </c>
      <c r="M274" s="2" t="s">
        <v>1152</v>
      </c>
    </row>
    <row r="275" spans="1:13">
      <c r="A275" s="58" t="str">
        <f t="shared" si="51"/>
        <v>W1MB-160</v>
      </c>
      <c r="B275" s="56" t="str">
        <f>IF(A275="","",VLOOKUP(A275,工位附件!D:E,2,FALSE))</f>
        <v>车身补焊工位</v>
      </c>
      <c r="C275" s="42"/>
      <c r="D275" s="42"/>
      <c r="E275" s="42"/>
      <c r="F275" s="62"/>
      <c r="G275" s="62"/>
      <c r="H275" s="41" t="s">
        <v>1256</v>
      </c>
      <c r="I275" s="41" t="s">
        <v>1257</v>
      </c>
      <c r="J275" s="41" t="s">
        <v>1338</v>
      </c>
      <c r="K275" s="41" t="s">
        <v>795</v>
      </c>
      <c r="L275" s="2" t="s">
        <v>2</v>
      </c>
      <c r="M275" s="2" t="s">
        <v>1152</v>
      </c>
    </row>
    <row r="276" spans="1:13">
      <c r="A276" s="58" t="str">
        <f t="shared" si="51"/>
        <v>W1MB-160</v>
      </c>
      <c r="B276" s="56" t="str">
        <f>IF(A276="","",VLOOKUP(A276,工位附件!D:E,2,FALSE))</f>
        <v>车身补焊工位</v>
      </c>
      <c r="C276" s="42"/>
      <c r="D276" s="42"/>
      <c r="E276" s="42"/>
      <c r="F276" s="62"/>
      <c r="G276" s="62"/>
      <c r="H276" s="41" t="s">
        <v>1258</v>
      </c>
      <c r="I276" s="41" t="s">
        <v>1257</v>
      </c>
      <c r="J276" s="41" t="s">
        <v>1338</v>
      </c>
      <c r="K276" s="41" t="s">
        <v>795</v>
      </c>
      <c r="L276" s="2" t="s">
        <v>2</v>
      </c>
      <c r="M276" s="2" t="s">
        <v>1152</v>
      </c>
    </row>
    <row r="277" spans="1:13" ht="28.8">
      <c r="A277" s="56" t="s">
        <v>201</v>
      </c>
      <c r="B277" s="56" t="str">
        <f>IF(A277="","",VLOOKUP(A277,工位附件!D:E,2,FALSE))</f>
        <v>车身补焊工位</v>
      </c>
      <c r="C277" s="42" t="s">
        <v>1234</v>
      </c>
      <c r="D277" s="42" t="s">
        <v>1235</v>
      </c>
      <c r="E277" s="42">
        <v>1</v>
      </c>
      <c r="F277" s="61">
        <v>86</v>
      </c>
      <c r="G277" s="61" t="s">
        <v>1161</v>
      </c>
      <c r="H277" s="41" t="s">
        <v>1259</v>
      </c>
      <c r="I277" s="41" t="s">
        <v>1260</v>
      </c>
      <c r="J277" s="41" t="s">
        <v>1</v>
      </c>
      <c r="K277" s="41" t="s">
        <v>795</v>
      </c>
      <c r="L277" s="2" t="s">
        <v>2</v>
      </c>
      <c r="M277" s="2" t="s">
        <v>1152</v>
      </c>
    </row>
    <row r="278" spans="1:13" ht="28.8">
      <c r="A278" s="58" t="str">
        <f t="shared" ref="A278:A280" si="52">A277</f>
        <v>W1MB-180</v>
      </c>
      <c r="B278" s="56" t="str">
        <f>IF(A278="","",VLOOKUP(A278,工位附件!D:E,2,FALSE))</f>
        <v>车身补焊工位</v>
      </c>
      <c r="C278" s="42" t="s">
        <v>1238</v>
      </c>
      <c r="D278" s="42" t="s">
        <v>1239</v>
      </c>
      <c r="E278" s="42">
        <v>1</v>
      </c>
      <c r="F278" s="62"/>
      <c r="G278" s="62"/>
      <c r="H278" s="41" t="s">
        <v>1261</v>
      </c>
      <c r="I278" s="41" t="s">
        <v>1262</v>
      </c>
      <c r="J278" s="41" t="s">
        <v>1</v>
      </c>
      <c r="K278" s="41" t="s">
        <v>795</v>
      </c>
      <c r="L278" s="2" t="s">
        <v>2</v>
      </c>
      <c r="M278" s="2" t="s">
        <v>1152</v>
      </c>
    </row>
    <row r="279" spans="1:13">
      <c r="A279" s="58" t="str">
        <f t="shared" si="52"/>
        <v>W1MB-180</v>
      </c>
      <c r="B279" s="56" t="str">
        <f>IF(A279="","",VLOOKUP(A279,工位附件!D:E,2,FALSE))</f>
        <v>车身补焊工位</v>
      </c>
      <c r="C279" s="42"/>
      <c r="D279" s="42"/>
      <c r="E279" s="42"/>
      <c r="F279" s="62"/>
      <c r="G279" s="62"/>
      <c r="H279" s="41" t="s">
        <v>1263</v>
      </c>
      <c r="I279" s="41" t="s">
        <v>1264</v>
      </c>
      <c r="J279" s="41" t="s">
        <v>1</v>
      </c>
      <c r="K279" s="41" t="s">
        <v>795</v>
      </c>
      <c r="L279" s="2" t="s">
        <v>794</v>
      </c>
      <c r="M279" s="2" t="s">
        <v>1152</v>
      </c>
    </row>
    <row r="280" spans="1:13">
      <c r="A280" s="58" t="str">
        <f t="shared" si="52"/>
        <v>W1MB-180</v>
      </c>
      <c r="B280" s="56" t="str">
        <f>IF(A280="","",VLOOKUP(A280,工位附件!D:E,2,FALSE))</f>
        <v>车身补焊工位</v>
      </c>
      <c r="C280" s="42"/>
      <c r="D280" s="42"/>
      <c r="E280" s="42"/>
      <c r="F280" s="62"/>
      <c r="G280" s="62"/>
      <c r="H280" s="41" t="s">
        <v>1265</v>
      </c>
      <c r="I280" s="41" t="s">
        <v>1266</v>
      </c>
      <c r="J280" s="41" t="s">
        <v>1</v>
      </c>
      <c r="K280" s="41" t="s">
        <v>795</v>
      </c>
      <c r="L280" s="2" t="s">
        <v>794</v>
      </c>
      <c r="M280" s="2" t="s">
        <v>1152</v>
      </c>
    </row>
    <row r="281" spans="1:13" ht="28.8">
      <c r="A281" s="56" t="s">
        <v>202</v>
      </c>
      <c r="B281" s="56" t="str">
        <f>IF(A281="","",VLOOKUP(A281,工位附件!D:E,2,FALSE))</f>
        <v>车身补焊工位</v>
      </c>
      <c r="C281" s="42" t="s">
        <v>1267</v>
      </c>
      <c r="D281" s="42" t="s">
        <v>1268</v>
      </c>
      <c r="E281" s="42">
        <v>1</v>
      </c>
      <c r="F281" s="61">
        <v>128</v>
      </c>
      <c r="G281" s="61" t="s">
        <v>1269</v>
      </c>
      <c r="H281" s="41" t="s">
        <v>1270</v>
      </c>
      <c r="I281" s="41" t="s">
        <v>1271</v>
      </c>
      <c r="J281" s="41" t="s">
        <v>1</v>
      </c>
      <c r="K281" s="41" t="s">
        <v>795</v>
      </c>
      <c r="L281" s="2" t="s">
        <v>2</v>
      </c>
      <c r="M281" s="2" t="s">
        <v>1272</v>
      </c>
    </row>
    <row r="282" spans="1:13" ht="28.8">
      <c r="A282" s="58" t="str">
        <f t="shared" ref="A282:A286" si="53">A281</f>
        <v>W1MB-190</v>
      </c>
      <c r="B282" s="56" t="str">
        <f>IF(A282="","",VLOOKUP(A282,工位附件!D:E,2,FALSE))</f>
        <v>车身补焊工位</v>
      </c>
      <c r="C282" s="42" t="s">
        <v>1273</v>
      </c>
      <c r="D282" s="42" t="s">
        <v>1274</v>
      </c>
      <c r="E282" s="42">
        <v>1</v>
      </c>
      <c r="F282" s="62"/>
      <c r="G282" s="62"/>
      <c r="H282" s="41" t="s">
        <v>1275</v>
      </c>
      <c r="I282" s="41" t="s">
        <v>1276</v>
      </c>
      <c r="J282" s="41" t="s">
        <v>1</v>
      </c>
      <c r="K282" s="41" t="s">
        <v>795</v>
      </c>
      <c r="L282" s="2" t="s">
        <v>2</v>
      </c>
      <c r="M282" s="2" t="s">
        <v>1272</v>
      </c>
    </row>
    <row r="283" spans="1:13">
      <c r="A283" s="58" t="str">
        <f t="shared" si="53"/>
        <v>W1MB-190</v>
      </c>
      <c r="B283" s="56" t="str">
        <f>IF(A283="","",VLOOKUP(A283,工位附件!D:E,2,FALSE))</f>
        <v>车身补焊工位</v>
      </c>
      <c r="C283" s="42"/>
      <c r="D283" s="42"/>
      <c r="E283" s="42"/>
      <c r="F283" s="62"/>
      <c r="G283" s="62"/>
      <c r="H283" s="41" t="s">
        <v>1277</v>
      </c>
      <c r="I283" s="41" t="s">
        <v>1278</v>
      </c>
      <c r="J283" s="41" t="s">
        <v>1</v>
      </c>
      <c r="K283" s="41" t="s">
        <v>795</v>
      </c>
      <c r="L283" s="2" t="s">
        <v>2</v>
      </c>
      <c r="M283" s="2" t="s">
        <v>1272</v>
      </c>
    </row>
    <row r="284" spans="1:13">
      <c r="A284" s="58" t="str">
        <f t="shared" si="53"/>
        <v>W1MB-190</v>
      </c>
      <c r="B284" s="56" t="str">
        <f>IF(A284="","",VLOOKUP(A284,工位附件!D:E,2,FALSE))</f>
        <v>车身补焊工位</v>
      </c>
      <c r="C284" s="42"/>
      <c r="D284" s="42"/>
      <c r="E284" s="42"/>
      <c r="F284" s="62"/>
      <c r="G284" s="62"/>
      <c r="H284" s="41" t="s">
        <v>1279</v>
      </c>
      <c r="I284" s="41" t="s">
        <v>1280</v>
      </c>
      <c r="J284" s="41" t="s">
        <v>1</v>
      </c>
      <c r="K284" s="41" t="s">
        <v>795</v>
      </c>
      <c r="L284" s="2" t="s">
        <v>2</v>
      </c>
      <c r="M284" s="2" t="s">
        <v>1272</v>
      </c>
    </row>
    <row r="285" spans="1:13">
      <c r="A285" s="58" t="str">
        <f t="shared" si="53"/>
        <v>W1MB-190</v>
      </c>
      <c r="B285" s="56" t="str">
        <f>IF(A285="","",VLOOKUP(A285,工位附件!D:E,2,FALSE))</f>
        <v>车身补焊工位</v>
      </c>
      <c r="C285" s="42"/>
      <c r="D285" s="42"/>
      <c r="E285" s="42"/>
      <c r="F285" s="62"/>
      <c r="G285" s="62"/>
      <c r="H285" s="41" t="s">
        <v>1281</v>
      </c>
      <c r="I285" s="41" t="s">
        <v>1282</v>
      </c>
      <c r="J285" s="41" t="s">
        <v>1</v>
      </c>
      <c r="K285" s="41" t="s">
        <v>795</v>
      </c>
      <c r="L285" s="2" t="s">
        <v>794</v>
      </c>
      <c r="M285" s="2" t="s">
        <v>1272</v>
      </c>
    </row>
    <row r="286" spans="1:13">
      <c r="A286" s="57" t="str">
        <f t="shared" si="53"/>
        <v>W1MB-190</v>
      </c>
      <c r="B286" s="56" t="str">
        <f>IF(A286="","",VLOOKUP(A286,工位附件!D:E,2,FALSE))</f>
        <v>车身补焊工位</v>
      </c>
      <c r="C286" s="42"/>
      <c r="D286" s="42"/>
      <c r="E286" s="42"/>
      <c r="F286" s="63"/>
      <c r="G286" s="63"/>
      <c r="H286" s="41" t="s">
        <v>1283</v>
      </c>
      <c r="I286" s="41" t="s">
        <v>1282</v>
      </c>
      <c r="J286" s="41" t="s">
        <v>1</v>
      </c>
      <c r="K286" s="41" t="s">
        <v>795</v>
      </c>
      <c r="L286" s="2" t="s">
        <v>794</v>
      </c>
      <c r="M286" s="2" t="s">
        <v>1272</v>
      </c>
    </row>
    <row r="287" spans="1:13" ht="28.8">
      <c r="A287" s="56" t="s">
        <v>205</v>
      </c>
      <c r="B287" s="56" t="str">
        <f>IF(A287="","",VLOOKUP(A287,工位附件!D:E,2,FALSE))</f>
        <v>顶盖安装工位</v>
      </c>
      <c r="C287" s="42" t="s">
        <v>799</v>
      </c>
      <c r="D287" s="42" t="s">
        <v>800</v>
      </c>
      <c r="E287" s="42">
        <v>1</v>
      </c>
      <c r="F287" s="61">
        <v>24</v>
      </c>
      <c r="G287" s="61" t="s">
        <v>704</v>
      </c>
      <c r="H287" s="41" t="s">
        <v>803</v>
      </c>
      <c r="I287" s="41" t="s">
        <v>804</v>
      </c>
      <c r="J287" s="41" t="s">
        <v>1</v>
      </c>
      <c r="K287" s="41" t="s">
        <v>795</v>
      </c>
      <c r="L287" s="2" t="s">
        <v>2</v>
      </c>
      <c r="M287" s="2" t="s">
        <v>3</v>
      </c>
    </row>
    <row r="288" spans="1:13" ht="28.8">
      <c r="A288" s="58" t="str">
        <f t="shared" ref="A288:A290" si="54">A287</f>
        <v>W1MB-210</v>
      </c>
      <c r="B288" s="56" t="str">
        <f>IF(A288="","",VLOOKUP(A288,工位附件!D:E,2,FALSE))</f>
        <v>顶盖安装工位</v>
      </c>
      <c r="C288" s="42" t="s">
        <v>801</v>
      </c>
      <c r="D288" s="42" t="s">
        <v>802</v>
      </c>
      <c r="E288" s="42">
        <v>1</v>
      </c>
      <c r="F288" s="62"/>
      <c r="G288" s="62"/>
      <c r="H288" s="41" t="s">
        <v>805</v>
      </c>
      <c r="I288" s="41" t="s">
        <v>806</v>
      </c>
      <c r="J288" s="41" t="s">
        <v>1</v>
      </c>
      <c r="K288" s="41" t="s">
        <v>795</v>
      </c>
      <c r="L288" s="2" t="s">
        <v>2</v>
      </c>
      <c r="M288" s="2" t="s">
        <v>3</v>
      </c>
    </row>
    <row r="289" spans="1:13" ht="28.8">
      <c r="A289" s="58" t="str">
        <f t="shared" si="54"/>
        <v>W1MB-210</v>
      </c>
      <c r="B289" s="56" t="str">
        <f>IF(A289="","",VLOOKUP(A289,工位附件!D:E,2,FALSE))</f>
        <v>顶盖安装工位</v>
      </c>
      <c r="C289" s="42" t="s">
        <v>807</v>
      </c>
      <c r="D289" s="42" t="s">
        <v>808</v>
      </c>
      <c r="E289" s="42">
        <v>1</v>
      </c>
      <c r="F289" s="62"/>
      <c r="G289" s="62"/>
      <c r="H289" s="41"/>
      <c r="I289" s="41"/>
      <c r="J289" s="41"/>
      <c r="K289" s="41"/>
      <c r="L289" s="2"/>
      <c r="M289" s="2"/>
    </row>
    <row r="290" spans="1:13" ht="28.8">
      <c r="A290" s="58" t="str">
        <f t="shared" si="54"/>
        <v>W1MB-210</v>
      </c>
      <c r="B290" s="56" t="str">
        <f>IF(A290="","",VLOOKUP(A290,工位附件!D:E,2,FALSE))</f>
        <v>顶盖安装工位</v>
      </c>
      <c r="C290" s="42" t="s">
        <v>809</v>
      </c>
      <c r="D290" s="42" t="s">
        <v>810</v>
      </c>
      <c r="E290" s="42">
        <v>1</v>
      </c>
      <c r="F290" s="62"/>
      <c r="G290" s="62"/>
      <c r="H290" s="41"/>
      <c r="I290" s="41"/>
      <c r="J290" s="41"/>
      <c r="K290" s="41"/>
      <c r="L290" s="2"/>
      <c r="M290" s="2"/>
    </row>
    <row r="291" spans="1:13" ht="28.8">
      <c r="A291" s="56" t="s">
        <v>207</v>
      </c>
      <c r="B291" s="56" t="str">
        <f>IF(A291="","",VLOOKUP(A291,工位附件!D:E,2,FALSE))</f>
        <v>车身补焊工位</v>
      </c>
      <c r="C291" s="42" t="s">
        <v>1284</v>
      </c>
      <c r="D291" s="42" t="s">
        <v>1285</v>
      </c>
      <c r="E291" s="42">
        <v>1</v>
      </c>
      <c r="F291" s="61">
        <v>86</v>
      </c>
      <c r="G291" s="61" t="s">
        <v>1161</v>
      </c>
      <c r="H291" s="41" t="s">
        <v>1354</v>
      </c>
      <c r="I291" s="41" t="s">
        <v>1286</v>
      </c>
      <c r="J291" s="41" t="s">
        <v>1</v>
      </c>
      <c r="K291" s="41" t="s">
        <v>795</v>
      </c>
      <c r="L291" s="2" t="s">
        <v>2</v>
      </c>
      <c r="M291" s="2" t="s">
        <v>1152</v>
      </c>
    </row>
    <row r="292" spans="1:13" ht="28.8">
      <c r="A292" s="58" t="str">
        <f t="shared" ref="A292:A294" si="55">A291</f>
        <v>W1MB-220</v>
      </c>
      <c r="B292" s="56" t="str">
        <f>IF(A292="","",VLOOKUP(A292,工位附件!D:E,2,FALSE))</f>
        <v>车身补焊工位</v>
      </c>
      <c r="C292" s="42" t="s">
        <v>1287</v>
      </c>
      <c r="D292" s="42" t="s">
        <v>1288</v>
      </c>
      <c r="E292" s="42">
        <v>1</v>
      </c>
      <c r="F292" s="62"/>
      <c r="G292" s="62"/>
      <c r="H292" s="41" t="s">
        <v>1289</v>
      </c>
      <c r="I292" s="41" t="s">
        <v>1290</v>
      </c>
      <c r="J292" s="41" t="s">
        <v>1</v>
      </c>
      <c r="K292" s="41" t="s">
        <v>795</v>
      </c>
      <c r="L292" s="2" t="s">
        <v>794</v>
      </c>
      <c r="M292" s="2" t="s">
        <v>1152</v>
      </c>
    </row>
    <row r="293" spans="1:13">
      <c r="A293" s="58" t="str">
        <f t="shared" si="55"/>
        <v>W1MB-220</v>
      </c>
      <c r="B293" s="56" t="str">
        <f>IF(A293="","",VLOOKUP(A293,工位附件!D:E,2,FALSE))</f>
        <v>车身补焊工位</v>
      </c>
      <c r="C293" s="42"/>
      <c r="D293" s="42"/>
      <c r="E293" s="42"/>
      <c r="F293" s="62"/>
      <c r="G293" s="62"/>
      <c r="H293" s="41" t="s">
        <v>1291</v>
      </c>
      <c r="I293" s="41" t="s">
        <v>1292</v>
      </c>
      <c r="J293" s="41" t="s">
        <v>1</v>
      </c>
      <c r="K293" s="41" t="s">
        <v>795</v>
      </c>
      <c r="L293" s="2" t="s">
        <v>2</v>
      </c>
      <c r="M293" s="2" t="s">
        <v>1152</v>
      </c>
    </row>
    <row r="294" spans="1:13">
      <c r="A294" s="58" t="str">
        <f t="shared" si="55"/>
        <v>W1MB-220</v>
      </c>
      <c r="B294" s="56" t="str">
        <f>IF(A294="","",VLOOKUP(A294,工位附件!D:E,2,FALSE))</f>
        <v>车身补焊工位</v>
      </c>
      <c r="C294" s="42"/>
      <c r="D294" s="42"/>
      <c r="E294" s="42"/>
      <c r="F294" s="62"/>
      <c r="G294" s="62"/>
      <c r="H294" s="41" t="s">
        <v>1293</v>
      </c>
      <c r="I294" s="41" t="s">
        <v>1294</v>
      </c>
      <c r="J294" s="41" t="s">
        <v>1</v>
      </c>
      <c r="K294" s="41" t="s">
        <v>795</v>
      </c>
      <c r="L294" s="2" t="s">
        <v>2</v>
      </c>
      <c r="M294" s="2" t="s">
        <v>1152</v>
      </c>
    </row>
    <row r="295" spans="1:13" ht="28.8">
      <c r="A295" s="56" t="s">
        <v>209</v>
      </c>
      <c r="B295" s="56" t="str">
        <f>IF(A295="","",VLOOKUP(A295,工位附件!D:E,2,FALSE))</f>
        <v>侧围连接板上件工位</v>
      </c>
      <c r="C295" s="42" t="s">
        <v>1284</v>
      </c>
      <c r="D295" s="42" t="s">
        <v>1285</v>
      </c>
      <c r="E295" s="42">
        <v>1</v>
      </c>
      <c r="F295" s="61">
        <v>44</v>
      </c>
      <c r="G295" s="61" t="s">
        <v>1161</v>
      </c>
      <c r="H295" s="41" t="s">
        <v>1295</v>
      </c>
      <c r="I295" s="41" t="s">
        <v>1296</v>
      </c>
      <c r="J295" s="41" t="s">
        <v>1</v>
      </c>
      <c r="K295" s="41" t="s">
        <v>795</v>
      </c>
      <c r="L295" s="2" t="s">
        <v>2</v>
      </c>
      <c r="M295" s="2" t="s">
        <v>1152</v>
      </c>
    </row>
    <row r="296" spans="1:13" ht="28.8">
      <c r="A296" s="58" t="str">
        <f t="shared" ref="A296:A298" si="56">A295</f>
        <v>W1MB-250</v>
      </c>
      <c r="B296" s="56" t="str">
        <f>IF(A296="","",VLOOKUP(A296,工位附件!D:E,2,FALSE))</f>
        <v>侧围连接板上件工位</v>
      </c>
      <c r="C296" s="42" t="s">
        <v>1287</v>
      </c>
      <c r="D296" s="42" t="s">
        <v>1288</v>
      </c>
      <c r="E296" s="42">
        <v>1</v>
      </c>
      <c r="F296" s="62"/>
      <c r="G296" s="62"/>
      <c r="H296" s="41" t="s">
        <v>1297</v>
      </c>
      <c r="I296" s="41" t="s">
        <v>1298</v>
      </c>
      <c r="J296" s="41" t="s">
        <v>1</v>
      </c>
      <c r="K296" s="41" t="s">
        <v>795</v>
      </c>
      <c r="L296" s="2" t="s">
        <v>2</v>
      </c>
      <c r="M296" s="2" t="s">
        <v>1152</v>
      </c>
    </row>
    <row r="297" spans="1:13">
      <c r="A297" s="58" t="str">
        <f t="shared" si="56"/>
        <v>W1MB-250</v>
      </c>
      <c r="B297" s="56" t="str">
        <f>IF(A297="","",VLOOKUP(A297,工位附件!D:E,2,FALSE))</f>
        <v>侧围连接板上件工位</v>
      </c>
      <c r="C297" s="42"/>
      <c r="D297" s="42"/>
      <c r="E297" s="42"/>
      <c r="F297" s="62"/>
      <c r="G297" s="62"/>
      <c r="H297" s="41" t="s">
        <v>1299</v>
      </c>
      <c r="I297" s="41" t="s">
        <v>1300</v>
      </c>
      <c r="J297" s="41" t="s">
        <v>1</v>
      </c>
      <c r="K297" s="41" t="s">
        <v>795</v>
      </c>
      <c r="L297" s="2" t="s">
        <v>794</v>
      </c>
      <c r="M297" s="2" t="s">
        <v>1152</v>
      </c>
    </row>
    <row r="298" spans="1:13">
      <c r="A298" s="58" t="str">
        <f t="shared" si="56"/>
        <v>W1MB-250</v>
      </c>
      <c r="B298" s="56" t="str">
        <f>IF(A298="","",VLOOKUP(A298,工位附件!D:E,2,FALSE))</f>
        <v>侧围连接板上件工位</v>
      </c>
      <c r="C298" s="42"/>
      <c r="D298" s="42"/>
      <c r="E298" s="42"/>
      <c r="F298" s="62"/>
      <c r="G298" s="62"/>
      <c r="H298" s="41" t="s">
        <v>1301</v>
      </c>
      <c r="I298" s="41" t="s">
        <v>1302</v>
      </c>
      <c r="J298" s="41" t="s">
        <v>1</v>
      </c>
      <c r="K298" s="41" t="s">
        <v>795</v>
      </c>
      <c r="L298" s="2" t="s">
        <v>794</v>
      </c>
      <c r="M298" s="2" t="s">
        <v>1152</v>
      </c>
    </row>
    <row r="299" spans="1:13" ht="28.8">
      <c r="A299" s="56" t="s">
        <v>211</v>
      </c>
      <c r="B299" s="56" t="str">
        <f>IF(A299="","",VLOOKUP(A299,工位附件!D:E,2,FALSE))</f>
        <v>机器人补焊工位</v>
      </c>
      <c r="C299" s="42" t="s">
        <v>1303</v>
      </c>
      <c r="D299" s="42" t="s">
        <v>1304</v>
      </c>
      <c r="E299" s="42">
        <v>1</v>
      </c>
      <c r="F299" s="61">
        <v>84</v>
      </c>
      <c r="G299" s="61" t="s">
        <v>1269</v>
      </c>
      <c r="H299" s="41" t="s">
        <v>1305</v>
      </c>
      <c r="I299" s="41" t="s">
        <v>1306</v>
      </c>
      <c r="J299" s="41" t="s">
        <v>1</v>
      </c>
      <c r="K299" s="41" t="s">
        <v>795</v>
      </c>
      <c r="L299" s="2" t="s">
        <v>2</v>
      </c>
      <c r="M299" s="2" t="s">
        <v>1272</v>
      </c>
    </row>
    <row r="300" spans="1:13" ht="28.8">
      <c r="A300" s="58" t="str">
        <f t="shared" ref="A300:A302" si="57">A299</f>
        <v>W1MB-260</v>
      </c>
      <c r="B300" s="56" t="str">
        <f>IF(A300="","",VLOOKUP(A300,工位附件!D:E,2,FALSE))</f>
        <v>机器人补焊工位</v>
      </c>
      <c r="C300" s="42" t="s">
        <v>1307</v>
      </c>
      <c r="D300" s="42" t="s">
        <v>1308</v>
      </c>
      <c r="E300" s="42">
        <v>1</v>
      </c>
      <c r="F300" s="62"/>
      <c r="G300" s="62"/>
      <c r="H300" s="41" t="s">
        <v>1309</v>
      </c>
      <c r="I300" s="41" t="s">
        <v>1310</v>
      </c>
      <c r="J300" s="41" t="s">
        <v>1</v>
      </c>
      <c r="K300" s="41" t="s">
        <v>795</v>
      </c>
      <c r="L300" s="2" t="s">
        <v>2</v>
      </c>
      <c r="M300" s="2" t="s">
        <v>1272</v>
      </c>
    </row>
    <row r="301" spans="1:13">
      <c r="A301" s="58" t="str">
        <f t="shared" si="57"/>
        <v>W1MB-260</v>
      </c>
      <c r="B301" s="56" t="str">
        <f>IF(A301="","",VLOOKUP(A301,工位附件!D:E,2,FALSE))</f>
        <v>机器人补焊工位</v>
      </c>
      <c r="C301" s="42"/>
      <c r="D301" s="42"/>
      <c r="E301" s="42"/>
      <c r="F301" s="62"/>
      <c r="G301" s="62"/>
      <c r="H301" s="41" t="s">
        <v>1311</v>
      </c>
      <c r="I301" s="41" t="s">
        <v>1312</v>
      </c>
      <c r="J301" s="41" t="s">
        <v>1</v>
      </c>
      <c r="K301" s="41" t="s">
        <v>795</v>
      </c>
      <c r="L301" s="2" t="s">
        <v>794</v>
      </c>
      <c r="M301" s="2" t="s">
        <v>1272</v>
      </c>
    </row>
    <row r="302" spans="1:13">
      <c r="A302" s="58" t="str">
        <f t="shared" si="57"/>
        <v>W1MB-260</v>
      </c>
      <c r="B302" s="56" t="str">
        <f>IF(A302="","",VLOOKUP(A302,工位附件!D:E,2,FALSE))</f>
        <v>机器人补焊工位</v>
      </c>
      <c r="C302" s="42"/>
      <c r="D302" s="42"/>
      <c r="E302" s="42"/>
      <c r="F302" s="62"/>
      <c r="G302" s="62"/>
      <c r="H302" s="41" t="s">
        <v>1313</v>
      </c>
      <c r="I302" s="41" t="s">
        <v>1314</v>
      </c>
      <c r="J302" s="41" t="s">
        <v>1</v>
      </c>
      <c r="K302" s="41" t="s">
        <v>795</v>
      </c>
      <c r="L302" s="2" t="s">
        <v>794</v>
      </c>
      <c r="M302" s="2" t="s">
        <v>1272</v>
      </c>
    </row>
    <row r="303" spans="1:13">
      <c r="A303" s="56" t="s">
        <v>222</v>
      </c>
      <c r="B303" s="56" t="str">
        <f>IF(A303="","",VLOOKUP(A303,工位附件!D:E,2,FALSE))</f>
        <v>顶盖总成（非天窗）</v>
      </c>
      <c r="C303" s="42" t="s">
        <v>1315</v>
      </c>
      <c r="D303" s="42" t="s">
        <v>1316</v>
      </c>
      <c r="E303" s="42">
        <v>1</v>
      </c>
      <c r="F303" s="60">
        <v>16</v>
      </c>
      <c r="G303" s="61" t="s">
        <v>796</v>
      </c>
      <c r="H303" s="41" t="s">
        <v>1317</v>
      </c>
      <c r="I303" s="41" t="s">
        <v>1318</v>
      </c>
      <c r="J303" s="41" t="s">
        <v>1</v>
      </c>
      <c r="K303" s="41" t="s">
        <v>795</v>
      </c>
      <c r="L303" s="2" t="s">
        <v>2</v>
      </c>
      <c r="M303" s="2" t="s">
        <v>1272</v>
      </c>
    </row>
    <row r="304" spans="1:13" ht="28.8">
      <c r="A304" s="58" t="str">
        <f t="shared" ref="A304:A306" si="58">A303</f>
        <v>W1RA3-020</v>
      </c>
      <c r="B304" s="56" t="str">
        <f>IF(A304="","",VLOOKUP(A304,工位附件!D:E,2,FALSE))</f>
        <v>顶盖总成（非天窗）</v>
      </c>
      <c r="C304" s="42" t="s">
        <v>1319</v>
      </c>
      <c r="D304" s="42" t="s">
        <v>1320</v>
      </c>
      <c r="E304" s="42">
        <v>1</v>
      </c>
      <c r="F304" s="60"/>
      <c r="G304" s="62"/>
      <c r="H304" s="41" t="s">
        <v>1321</v>
      </c>
      <c r="I304" s="41" t="s">
        <v>1318</v>
      </c>
      <c r="J304" s="41" t="s">
        <v>1</v>
      </c>
      <c r="K304" s="41" t="s">
        <v>795</v>
      </c>
      <c r="L304" s="2" t="s">
        <v>2</v>
      </c>
      <c r="M304" s="2" t="s">
        <v>1272</v>
      </c>
    </row>
    <row r="305" spans="1:13">
      <c r="A305" s="58" t="str">
        <f t="shared" si="58"/>
        <v>W1RA3-020</v>
      </c>
      <c r="B305" s="56" t="str">
        <f>IF(A305="","",VLOOKUP(A305,工位附件!D:E,2,FALSE))</f>
        <v>顶盖总成（非天窗）</v>
      </c>
      <c r="C305" s="47" t="s">
        <v>1315</v>
      </c>
      <c r="D305" s="47" t="s">
        <v>1316</v>
      </c>
      <c r="E305" s="47">
        <v>1</v>
      </c>
      <c r="F305" s="60">
        <v>12</v>
      </c>
      <c r="G305" s="62"/>
      <c r="H305" s="41"/>
      <c r="I305" s="41"/>
      <c r="J305" s="41"/>
      <c r="K305" s="41"/>
      <c r="L305" s="2"/>
      <c r="M305" s="2"/>
    </row>
    <row r="306" spans="1:13" ht="28.8">
      <c r="A306" s="58" t="str">
        <f t="shared" si="58"/>
        <v>W1RA3-020</v>
      </c>
      <c r="B306" s="56" t="str">
        <f>IF(A306="","",VLOOKUP(A306,工位附件!D:E,2,FALSE))</f>
        <v>顶盖总成（非天窗）</v>
      </c>
      <c r="C306" s="47" t="s">
        <v>1319</v>
      </c>
      <c r="D306" s="47" t="s">
        <v>1339</v>
      </c>
      <c r="E306" s="47">
        <v>1</v>
      </c>
      <c r="F306" s="60"/>
      <c r="G306" s="62"/>
      <c r="H306" s="41"/>
      <c r="I306" s="41"/>
      <c r="J306" s="41"/>
      <c r="K306" s="41"/>
      <c r="L306" s="2"/>
      <c r="M306" s="2"/>
    </row>
    <row r="307" spans="1:13">
      <c r="A307" s="56" t="s">
        <v>222</v>
      </c>
      <c r="B307" s="56" t="str">
        <f>IF(A307="","",VLOOKUP(A307,工位附件!D:E,2,FALSE))</f>
        <v>顶盖总成（非天窗）</v>
      </c>
      <c r="C307" s="42" t="s">
        <v>1322</v>
      </c>
      <c r="D307" s="42" t="s">
        <v>1323</v>
      </c>
      <c r="E307" s="42">
        <v>1</v>
      </c>
      <c r="F307" s="61">
        <v>12</v>
      </c>
      <c r="G307" s="61" t="s">
        <v>796</v>
      </c>
      <c r="H307" s="41" t="s">
        <v>1317</v>
      </c>
      <c r="I307" s="41" t="s">
        <v>1318</v>
      </c>
      <c r="J307" s="41" t="s">
        <v>395</v>
      </c>
      <c r="K307" s="41" t="s">
        <v>1</v>
      </c>
      <c r="L307" s="2" t="s">
        <v>2</v>
      </c>
      <c r="M307" s="2" t="s">
        <v>1272</v>
      </c>
    </row>
    <row r="308" spans="1:13">
      <c r="A308" s="58" t="str">
        <f t="shared" ref="A308:A310" si="59">A307</f>
        <v>W1RA3-020</v>
      </c>
      <c r="B308" s="56" t="str">
        <f>IF(A308="","",VLOOKUP(A308,工位附件!D:E,2,FALSE))</f>
        <v>顶盖总成（非天窗）</v>
      </c>
      <c r="C308" s="42" t="s">
        <v>1324</v>
      </c>
      <c r="D308" s="42" t="s">
        <v>1325</v>
      </c>
      <c r="E308" s="42">
        <v>1</v>
      </c>
      <c r="F308" s="62"/>
      <c r="G308" s="62"/>
      <c r="H308" s="41" t="s">
        <v>1321</v>
      </c>
      <c r="I308" s="41" t="s">
        <v>1318</v>
      </c>
      <c r="J308" s="41" t="s">
        <v>395</v>
      </c>
      <c r="K308" s="41" t="s">
        <v>1</v>
      </c>
      <c r="L308" s="2" t="s">
        <v>2</v>
      </c>
      <c r="M308" s="2" t="s">
        <v>1272</v>
      </c>
    </row>
    <row r="309" spans="1:13">
      <c r="A309" s="58" t="str">
        <f t="shared" si="59"/>
        <v>W1RA3-020</v>
      </c>
      <c r="B309" s="56" t="str">
        <f>IF(A309="","",VLOOKUP(A309,工位附件!D:E,2,FALSE))</f>
        <v>顶盖总成（非天窗）</v>
      </c>
      <c r="C309" s="42" t="s">
        <v>1326</v>
      </c>
      <c r="D309" s="42" t="s">
        <v>1327</v>
      </c>
      <c r="E309" s="42">
        <v>1</v>
      </c>
      <c r="F309" s="62"/>
      <c r="G309" s="62"/>
      <c r="H309" s="41"/>
      <c r="I309" s="41"/>
      <c r="J309" s="41"/>
      <c r="K309" s="41"/>
      <c r="L309" s="2"/>
      <c r="M309" s="2"/>
    </row>
    <row r="310" spans="1:13">
      <c r="A310" s="58" t="str">
        <f t="shared" si="59"/>
        <v>W1RA3-020</v>
      </c>
      <c r="B310" s="56" t="str">
        <f>IF(A310="","",VLOOKUP(A310,工位附件!D:E,2,FALSE))</f>
        <v>顶盖总成（非天窗）</v>
      </c>
      <c r="C310" s="42" t="s">
        <v>1328</v>
      </c>
      <c r="D310" s="42" t="s">
        <v>1329</v>
      </c>
      <c r="E310" s="42">
        <v>1</v>
      </c>
      <c r="F310" s="62"/>
      <c r="G310" s="62"/>
      <c r="H310" s="41"/>
      <c r="I310" s="41"/>
      <c r="J310" s="41"/>
      <c r="K310" s="41"/>
      <c r="L310" s="2"/>
      <c r="M310" s="2"/>
    </row>
    <row r="311" spans="1:13" ht="14.4" customHeight="1">
      <c r="A311" s="55" t="s">
        <v>248</v>
      </c>
      <c r="B311" s="56" t="str">
        <f>IF(A311="","",VLOOKUP(A311,工位附件!D:E,2,FALSE))</f>
        <v>发动机盖内板总成点定</v>
      </c>
      <c r="C311" s="35" t="s">
        <v>811</v>
      </c>
      <c r="D311" s="35" t="s">
        <v>812</v>
      </c>
      <c r="E311" s="35">
        <v>1</v>
      </c>
      <c r="F311" s="60">
        <v>36</v>
      </c>
      <c r="G311" s="60" t="s">
        <v>813</v>
      </c>
      <c r="H311" s="52" t="s">
        <v>1355</v>
      </c>
      <c r="I311" s="38" t="s">
        <v>814</v>
      </c>
      <c r="J311" s="38" t="s">
        <v>1</v>
      </c>
      <c r="K311" s="38" t="s">
        <v>1</v>
      </c>
      <c r="L311" s="2" t="s">
        <v>2</v>
      </c>
      <c r="M311" s="2" t="s">
        <v>3</v>
      </c>
    </row>
    <row r="312" spans="1:13">
      <c r="A312" s="55" t="str">
        <f t="shared" ref="A312:A316" si="60">A311</f>
        <v>W1HD1-010</v>
      </c>
      <c r="B312" s="56" t="str">
        <f>IF(A312="","",VLOOKUP(A312,工位附件!D:E,2,FALSE))</f>
        <v>发动机盖内板总成点定</v>
      </c>
      <c r="C312" s="35" t="s">
        <v>815</v>
      </c>
      <c r="D312" s="35" t="s">
        <v>816</v>
      </c>
      <c r="E312" s="35">
        <v>1</v>
      </c>
      <c r="F312" s="60"/>
      <c r="G312" s="60"/>
      <c r="H312" s="52" t="s">
        <v>1356</v>
      </c>
      <c r="I312" s="38" t="s">
        <v>814</v>
      </c>
      <c r="J312" s="38" t="s">
        <v>1</v>
      </c>
      <c r="K312" s="38" t="s">
        <v>1</v>
      </c>
      <c r="L312" s="2" t="s">
        <v>2</v>
      </c>
      <c r="M312" s="2" t="s">
        <v>3</v>
      </c>
    </row>
    <row r="313" spans="1:13">
      <c r="A313" s="55" t="str">
        <f t="shared" si="60"/>
        <v>W1HD1-010</v>
      </c>
      <c r="B313" s="56" t="str">
        <f>IF(A313="","",VLOOKUP(A313,工位附件!D:E,2,FALSE))</f>
        <v>发动机盖内板总成点定</v>
      </c>
      <c r="C313" s="35" t="s">
        <v>817</v>
      </c>
      <c r="D313" s="35" t="s">
        <v>818</v>
      </c>
      <c r="E313" s="35">
        <v>1</v>
      </c>
      <c r="F313" s="60"/>
      <c r="G313" s="60"/>
      <c r="H313" s="38"/>
      <c r="I313" s="38"/>
      <c r="J313" s="38"/>
      <c r="K313" s="38"/>
      <c r="L313" s="2"/>
      <c r="M313" s="2"/>
    </row>
    <row r="314" spans="1:13">
      <c r="A314" s="55" t="str">
        <f t="shared" si="60"/>
        <v>W1HD1-010</v>
      </c>
      <c r="B314" s="56" t="str">
        <f>IF(A314="","",VLOOKUP(A314,工位附件!D:E,2,FALSE))</f>
        <v>发动机盖内板总成点定</v>
      </c>
      <c r="C314" s="35" t="s">
        <v>819</v>
      </c>
      <c r="D314" s="35" t="s">
        <v>820</v>
      </c>
      <c r="E314" s="35">
        <v>1</v>
      </c>
      <c r="F314" s="60"/>
      <c r="G314" s="60"/>
      <c r="H314" s="38"/>
      <c r="I314" s="38"/>
      <c r="J314" s="38"/>
      <c r="K314" s="38"/>
      <c r="L314" s="2"/>
      <c r="M314" s="2"/>
    </row>
    <row r="315" spans="1:13">
      <c r="A315" s="55" t="str">
        <f t="shared" si="60"/>
        <v>W1HD1-010</v>
      </c>
      <c r="B315" s="56" t="str">
        <f>IF(A315="","",VLOOKUP(A315,工位附件!D:E,2,FALSE))</f>
        <v>发动机盖内板总成点定</v>
      </c>
      <c r="C315" s="35" t="s">
        <v>821</v>
      </c>
      <c r="D315" s="35" t="s">
        <v>822</v>
      </c>
      <c r="E315" s="35">
        <v>1</v>
      </c>
      <c r="F315" s="60"/>
      <c r="G315" s="60"/>
      <c r="H315" s="38"/>
      <c r="I315" s="38"/>
      <c r="J315" s="38"/>
      <c r="K315" s="38"/>
      <c r="L315" s="2"/>
      <c r="M315" s="2"/>
    </row>
    <row r="316" spans="1:13">
      <c r="A316" s="55" t="str">
        <f t="shared" si="60"/>
        <v>W1HD1-010</v>
      </c>
      <c r="B316" s="56" t="str">
        <f>IF(A316="","",VLOOKUP(A316,工位附件!D:E,2,FALSE))</f>
        <v>发动机盖内板总成点定</v>
      </c>
      <c r="C316" s="35" t="s">
        <v>823</v>
      </c>
      <c r="D316" s="35" t="s">
        <v>824</v>
      </c>
      <c r="E316" s="35">
        <v>2</v>
      </c>
      <c r="F316" s="60"/>
      <c r="G316" s="60"/>
      <c r="H316" s="38"/>
      <c r="I316" s="38"/>
      <c r="J316" s="38"/>
      <c r="K316" s="38"/>
      <c r="L316" s="2"/>
      <c r="M316" s="2"/>
    </row>
    <row r="317" spans="1:13" ht="14.4" customHeight="1">
      <c r="A317" s="56" t="s">
        <v>250</v>
      </c>
      <c r="B317" s="56" t="str">
        <f>IF(A317="","",VLOOKUP(A317,工位附件!D:E,2,FALSE))</f>
        <v>发动机盖内板总成补焊</v>
      </c>
      <c r="C317" s="35" t="s">
        <v>825</v>
      </c>
      <c r="D317" s="35" t="s">
        <v>826</v>
      </c>
      <c r="E317" s="35">
        <v>1</v>
      </c>
      <c r="F317" s="61">
        <v>21</v>
      </c>
      <c r="G317" s="61" t="s">
        <v>813</v>
      </c>
      <c r="H317" s="38" t="s">
        <v>1357</v>
      </c>
      <c r="I317" s="38" t="s">
        <v>1352</v>
      </c>
      <c r="J317" s="38" t="s">
        <v>1</v>
      </c>
      <c r="K317" s="38" t="s">
        <v>1</v>
      </c>
      <c r="L317" s="2" t="s">
        <v>2</v>
      </c>
      <c r="M317" s="2" t="s">
        <v>797</v>
      </c>
    </row>
    <row r="318" spans="1:13">
      <c r="A318" s="58" t="str">
        <f t="shared" ref="A318:A319" si="61">A317</f>
        <v>W1HD1-015</v>
      </c>
      <c r="B318" s="56" t="str">
        <f>IF(A318="","",VLOOKUP(A318,工位附件!D:E,2,FALSE))</f>
        <v>发动机盖内板总成补焊</v>
      </c>
      <c r="C318" s="50"/>
      <c r="D318" s="50"/>
      <c r="E318" s="50"/>
      <c r="F318" s="62"/>
      <c r="G318" s="62"/>
      <c r="H318" s="49" t="s">
        <v>1358</v>
      </c>
      <c r="I318" s="49" t="s">
        <v>1353</v>
      </c>
      <c r="J318" s="49" t="s">
        <v>1</v>
      </c>
      <c r="K318" s="49" t="s">
        <v>1</v>
      </c>
      <c r="L318" s="2" t="s">
        <v>2</v>
      </c>
      <c r="M318" s="2" t="s">
        <v>3</v>
      </c>
    </row>
    <row r="319" spans="1:13">
      <c r="A319" s="57" t="str">
        <f t="shared" si="61"/>
        <v>W1HD1-015</v>
      </c>
      <c r="B319" s="56" t="str">
        <f>IF(A319="","",VLOOKUP(A319,工位附件!D:E,2,FALSE))</f>
        <v>发动机盖内板总成补焊</v>
      </c>
      <c r="C319" s="50"/>
      <c r="D319" s="50"/>
      <c r="E319" s="50"/>
      <c r="F319" s="63"/>
      <c r="G319" s="63"/>
      <c r="H319" s="49"/>
      <c r="I319" s="49"/>
      <c r="J319" s="49"/>
      <c r="K319" s="49"/>
      <c r="L319" s="2"/>
      <c r="M319" s="2"/>
    </row>
    <row r="320" spans="1:13" ht="28.8">
      <c r="A320" s="55" t="s">
        <v>227</v>
      </c>
      <c r="B320" s="56" t="str">
        <f>IF(A320="","",VLOOKUP(A320,工位附件!D:E,2,FALSE))</f>
        <v>尾门内板分总成点定</v>
      </c>
      <c r="C320" s="35" t="s">
        <v>827</v>
      </c>
      <c r="D320" s="35" t="s">
        <v>828</v>
      </c>
      <c r="E320" s="35">
        <v>1</v>
      </c>
      <c r="F320" s="60">
        <v>24</v>
      </c>
      <c r="G320" s="60" t="s">
        <v>829</v>
      </c>
      <c r="H320" s="52" t="s">
        <v>1359</v>
      </c>
      <c r="I320" s="38" t="s">
        <v>830</v>
      </c>
      <c r="J320" s="38" t="s">
        <v>1</v>
      </c>
      <c r="K320" s="38" t="s">
        <v>1</v>
      </c>
      <c r="L320" s="2" t="s">
        <v>2</v>
      </c>
      <c r="M320" s="2" t="s">
        <v>797</v>
      </c>
    </row>
    <row r="321" spans="1:13">
      <c r="A321" s="55" t="str">
        <f t="shared" ref="A321:A325" si="62">A320</f>
        <v>W1BD1-010</v>
      </c>
      <c r="B321" s="56" t="str">
        <f>IF(A321="","",VLOOKUP(A321,工位附件!D:E,2,FALSE))</f>
        <v>尾门内板分总成点定</v>
      </c>
      <c r="C321" s="35" t="s">
        <v>831</v>
      </c>
      <c r="D321" s="35" t="s">
        <v>832</v>
      </c>
      <c r="E321" s="35">
        <v>1</v>
      </c>
      <c r="F321" s="60"/>
      <c r="G321" s="60"/>
      <c r="H321" s="52" t="s">
        <v>1360</v>
      </c>
      <c r="I321" s="38" t="s">
        <v>833</v>
      </c>
      <c r="J321" s="38" t="s">
        <v>1</v>
      </c>
      <c r="K321" s="38" t="s">
        <v>1</v>
      </c>
      <c r="L321" s="2" t="s">
        <v>2</v>
      </c>
      <c r="M321" s="2" t="s">
        <v>797</v>
      </c>
    </row>
    <row r="322" spans="1:13">
      <c r="A322" s="55" t="str">
        <f t="shared" si="62"/>
        <v>W1BD1-010</v>
      </c>
      <c r="B322" s="56" t="str">
        <f>IF(A322="","",VLOOKUP(A322,工位附件!D:E,2,FALSE))</f>
        <v>尾门内板分总成点定</v>
      </c>
      <c r="C322" s="35" t="s">
        <v>834</v>
      </c>
      <c r="D322" s="35" t="s">
        <v>835</v>
      </c>
      <c r="E322" s="35">
        <v>1</v>
      </c>
      <c r="F322" s="60"/>
      <c r="G322" s="60"/>
      <c r="H322" s="38"/>
      <c r="I322" s="38"/>
      <c r="J322" s="38"/>
      <c r="K322" s="38"/>
      <c r="L322" s="2"/>
      <c r="M322" s="2"/>
    </row>
    <row r="323" spans="1:13">
      <c r="A323" s="55" t="str">
        <f t="shared" si="62"/>
        <v>W1BD1-010</v>
      </c>
      <c r="B323" s="56" t="str">
        <f>IF(A323="","",VLOOKUP(A323,工位附件!D:E,2,FALSE))</f>
        <v>尾门内板分总成点定</v>
      </c>
      <c r="C323" s="35" t="s">
        <v>836</v>
      </c>
      <c r="D323" s="35" t="s">
        <v>837</v>
      </c>
      <c r="E323" s="35">
        <v>1</v>
      </c>
      <c r="F323" s="60"/>
      <c r="G323" s="60"/>
      <c r="H323" s="38"/>
      <c r="I323" s="38"/>
      <c r="J323" s="38"/>
      <c r="K323" s="38"/>
      <c r="L323" s="2"/>
      <c r="M323" s="2"/>
    </row>
    <row r="324" spans="1:13">
      <c r="A324" s="55" t="str">
        <f t="shared" si="62"/>
        <v>W1BD1-010</v>
      </c>
      <c r="B324" s="56" t="str">
        <f>IF(A324="","",VLOOKUP(A324,工位附件!D:E,2,FALSE))</f>
        <v>尾门内板分总成点定</v>
      </c>
      <c r="C324" s="35" t="s">
        <v>838</v>
      </c>
      <c r="D324" s="35" t="s">
        <v>839</v>
      </c>
      <c r="E324" s="35">
        <v>2</v>
      </c>
      <c r="F324" s="60"/>
      <c r="G324" s="60"/>
      <c r="H324" s="38"/>
      <c r="I324" s="38"/>
      <c r="J324" s="38"/>
      <c r="K324" s="38"/>
      <c r="L324" s="2"/>
      <c r="M324" s="2"/>
    </row>
    <row r="325" spans="1:13">
      <c r="A325" s="55" t="str">
        <f t="shared" si="62"/>
        <v>W1BD1-010</v>
      </c>
      <c r="B325" s="56" t="str">
        <f>IF(A325="","",VLOOKUP(A325,工位附件!D:E,2,FALSE))</f>
        <v>尾门内板分总成点定</v>
      </c>
      <c r="C325" s="35" t="s">
        <v>840</v>
      </c>
      <c r="D325" s="35" t="s">
        <v>841</v>
      </c>
      <c r="E325" s="35">
        <v>1</v>
      </c>
      <c r="F325" s="60"/>
      <c r="G325" s="60"/>
      <c r="H325" s="38"/>
      <c r="I325" s="38"/>
      <c r="J325" s="38"/>
      <c r="K325" s="38"/>
      <c r="L325" s="2"/>
      <c r="M325" s="2"/>
    </row>
    <row r="326" spans="1:13" ht="14.4" customHeight="1">
      <c r="A326" s="55" t="s">
        <v>229</v>
      </c>
      <c r="B326" s="56" t="str">
        <f>IF(A326="","",VLOOKUP(A326,工位附件!D:E,2,FALSE))</f>
        <v>尾门内板总成点定</v>
      </c>
      <c r="C326" s="35" t="s">
        <v>842</v>
      </c>
      <c r="D326" s="35"/>
      <c r="E326" s="35">
        <v>1</v>
      </c>
      <c r="F326" s="60">
        <v>28</v>
      </c>
      <c r="G326" s="60" t="s">
        <v>829</v>
      </c>
      <c r="H326" s="52" t="s">
        <v>1361</v>
      </c>
      <c r="I326" s="38" t="s">
        <v>843</v>
      </c>
      <c r="J326" s="38" t="s">
        <v>1</v>
      </c>
      <c r="K326" s="38" t="s">
        <v>1</v>
      </c>
      <c r="L326" s="2" t="s">
        <v>2</v>
      </c>
      <c r="M326" s="2" t="s">
        <v>797</v>
      </c>
    </row>
    <row r="327" spans="1:13">
      <c r="A327" s="55" t="str">
        <f t="shared" ref="A327:A329" si="63">A326</f>
        <v>W1BD1-020</v>
      </c>
      <c r="B327" s="56" t="str">
        <f>IF(A327="","",VLOOKUP(A327,工位附件!D:E,2,FALSE))</f>
        <v>尾门内板总成点定</v>
      </c>
      <c r="C327" s="35" t="s">
        <v>844</v>
      </c>
      <c r="D327" s="35" t="s">
        <v>845</v>
      </c>
      <c r="E327" s="35">
        <v>1</v>
      </c>
      <c r="F327" s="60"/>
      <c r="G327" s="60"/>
      <c r="H327" s="52" t="s">
        <v>1360</v>
      </c>
      <c r="I327" s="38" t="s">
        <v>846</v>
      </c>
      <c r="J327" s="38" t="s">
        <v>1</v>
      </c>
      <c r="K327" s="38" t="s">
        <v>1</v>
      </c>
      <c r="L327" s="2" t="s">
        <v>2</v>
      </c>
      <c r="M327" s="2" t="s">
        <v>797</v>
      </c>
    </row>
    <row r="328" spans="1:13">
      <c r="A328" s="55" t="str">
        <f t="shared" si="63"/>
        <v>W1BD1-020</v>
      </c>
      <c r="B328" s="56" t="str">
        <f>IF(A328="","",VLOOKUP(A328,工位附件!D:E,2,FALSE))</f>
        <v>尾门内板总成点定</v>
      </c>
      <c r="C328" s="35" t="s">
        <v>847</v>
      </c>
      <c r="D328" s="35" t="s">
        <v>848</v>
      </c>
      <c r="E328" s="35">
        <v>1</v>
      </c>
      <c r="F328" s="60"/>
      <c r="G328" s="60"/>
      <c r="H328" s="38"/>
      <c r="I328" s="38"/>
      <c r="J328" s="38"/>
      <c r="K328" s="38"/>
      <c r="L328" s="2"/>
      <c r="M328" s="2"/>
    </row>
    <row r="329" spans="1:13">
      <c r="A329" s="55" t="str">
        <f t="shared" si="63"/>
        <v>W1BD1-020</v>
      </c>
      <c r="B329" s="56" t="str">
        <f>IF(A329="","",VLOOKUP(A329,工位附件!D:E,2,FALSE))</f>
        <v>尾门内板总成点定</v>
      </c>
      <c r="C329" s="35" t="s">
        <v>849</v>
      </c>
      <c r="D329" s="35" t="s">
        <v>850</v>
      </c>
      <c r="E329" s="35">
        <v>1</v>
      </c>
      <c r="F329" s="60"/>
      <c r="G329" s="60"/>
      <c r="H329" s="38"/>
      <c r="I329" s="38"/>
      <c r="J329" s="38"/>
      <c r="K329" s="38"/>
      <c r="L329" s="2"/>
      <c r="M329" s="2"/>
    </row>
    <row r="330" spans="1:13" ht="43.2">
      <c r="A330" s="54" t="s">
        <v>231</v>
      </c>
      <c r="B330" s="56" t="str">
        <f>IF(A330="","",VLOOKUP(A330,工位附件!D:E,2,FALSE))</f>
        <v>尾门内板总成补焊</v>
      </c>
      <c r="C330" s="35" t="s">
        <v>851</v>
      </c>
      <c r="D330" s="35" t="s">
        <v>852</v>
      </c>
      <c r="E330" s="35">
        <v>1</v>
      </c>
      <c r="F330" s="36">
        <v>18</v>
      </c>
      <c r="G330" s="37" t="s">
        <v>829</v>
      </c>
      <c r="H330" s="52" t="s">
        <v>1362</v>
      </c>
      <c r="I330" s="38" t="s">
        <v>798</v>
      </c>
      <c r="J330" s="38" t="s">
        <v>1</v>
      </c>
      <c r="K330" s="38" t="s">
        <v>1</v>
      </c>
      <c r="L330" s="2" t="s">
        <v>2</v>
      </c>
      <c r="M330" s="2" t="s">
        <v>797</v>
      </c>
    </row>
    <row r="331" spans="1:13" ht="14.4" customHeight="1">
      <c r="A331" s="55" t="s">
        <v>233</v>
      </c>
      <c r="B331" s="56" t="str">
        <f>IF(A331="","",VLOOKUP(A331,工位附件!D:E,2,FALSE))</f>
        <v>尾门外板总成点定</v>
      </c>
      <c r="C331" s="35" t="s">
        <v>853</v>
      </c>
      <c r="D331" s="35" t="s">
        <v>854</v>
      </c>
      <c r="E331" s="35">
        <v>1</v>
      </c>
      <c r="F331" s="60">
        <v>12</v>
      </c>
      <c r="G331" s="60" t="s">
        <v>829</v>
      </c>
      <c r="H331" s="52" t="s">
        <v>1363</v>
      </c>
      <c r="I331" s="38" t="s">
        <v>855</v>
      </c>
      <c r="J331" s="38" t="s">
        <v>1</v>
      </c>
      <c r="K331" s="38" t="s">
        <v>1</v>
      </c>
      <c r="L331" s="2" t="s">
        <v>794</v>
      </c>
      <c r="M331" s="2" t="s">
        <v>1403</v>
      </c>
    </row>
    <row r="332" spans="1:13">
      <c r="A332" s="55" t="str">
        <f>A331</f>
        <v>W1BD1-030</v>
      </c>
      <c r="B332" s="56" t="str">
        <f>IF(A332="","",VLOOKUP(A332,工位附件!D:E,2,FALSE))</f>
        <v>尾门外板总成点定</v>
      </c>
      <c r="C332" s="35" t="s">
        <v>856</v>
      </c>
      <c r="D332" s="35" t="s">
        <v>857</v>
      </c>
      <c r="E332" s="35">
        <v>1</v>
      </c>
      <c r="F332" s="60"/>
      <c r="G332" s="60"/>
      <c r="H332" s="52" t="s">
        <v>1364</v>
      </c>
      <c r="I332" s="38" t="s">
        <v>858</v>
      </c>
      <c r="J332" s="38" t="s">
        <v>1</v>
      </c>
      <c r="K332" s="38" t="s">
        <v>1</v>
      </c>
      <c r="L332" s="2" t="s">
        <v>794</v>
      </c>
      <c r="M332" s="2" t="s">
        <v>1403</v>
      </c>
    </row>
    <row r="333" spans="1:13" ht="14.4" customHeight="1">
      <c r="A333" s="56" t="s">
        <v>235</v>
      </c>
      <c r="B333" s="56" t="str">
        <f>IF(A333="","",VLOOKUP(A333,工位附件!D:E,2,FALSE))</f>
        <v>尾门外板总成补焊</v>
      </c>
      <c r="C333" s="35" t="s">
        <v>859</v>
      </c>
      <c r="D333" s="35" t="s">
        <v>860</v>
      </c>
      <c r="E333" s="35">
        <v>1</v>
      </c>
      <c r="F333" s="61">
        <v>16</v>
      </c>
      <c r="G333" s="61" t="s">
        <v>829</v>
      </c>
      <c r="H333" s="38" t="s">
        <v>1363</v>
      </c>
      <c r="I333" s="38" t="s">
        <v>1365</v>
      </c>
      <c r="J333" s="38" t="s">
        <v>1</v>
      </c>
      <c r="K333" s="38" t="s">
        <v>1</v>
      </c>
      <c r="L333" s="2" t="s">
        <v>794</v>
      </c>
      <c r="M333" s="2" t="s">
        <v>1403</v>
      </c>
    </row>
    <row r="334" spans="1:13">
      <c r="A334" s="58" t="str">
        <f t="shared" ref="A334:A335" si="64">A333</f>
        <v>W1BD1-035</v>
      </c>
      <c r="B334" s="56" t="str">
        <f>IF(A334="","",VLOOKUP(A334,工位附件!D:E,2,FALSE))</f>
        <v>尾门外板总成补焊</v>
      </c>
      <c r="C334" s="51"/>
      <c r="D334" s="51"/>
      <c r="E334" s="51"/>
      <c r="F334" s="62"/>
      <c r="G334" s="62"/>
      <c r="H334" s="52" t="s">
        <v>1367</v>
      </c>
      <c r="I334" s="52" t="s">
        <v>1366</v>
      </c>
      <c r="J334" s="52" t="s">
        <v>1</v>
      </c>
      <c r="K334" s="52" t="s">
        <v>1</v>
      </c>
      <c r="L334" s="2" t="s">
        <v>794</v>
      </c>
      <c r="M334" s="2" t="s">
        <v>1403</v>
      </c>
    </row>
    <row r="335" spans="1:13">
      <c r="A335" s="57" t="str">
        <f t="shared" si="64"/>
        <v>W1BD1-035</v>
      </c>
      <c r="B335" s="56" t="str">
        <f>IF(A335="","",VLOOKUP(A335,工位附件!D:E,2,FALSE))</f>
        <v>尾门外板总成补焊</v>
      </c>
      <c r="C335" s="51"/>
      <c r="D335" s="51"/>
      <c r="E335" s="51"/>
      <c r="F335" s="63"/>
      <c r="G335" s="63"/>
      <c r="H335" s="52"/>
      <c r="I335" s="52"/>
      <c r="J335" s="52"/>
      <c r="K335" s="52"/>
      <c r="L335" s="2"/>
      <c r="M335" s="2"/>
    </row>
    <row r="336" spans="1:13" ht="28.8">
      <c r="A336" s="55" t="s">
        <v>241</v>
      </c>
      <c r="B336" s="56" t="str">
        <f>IF(A336="","",VLOOKUP(A336,工位附件!D:E,2,FALSE))</f>
        <v>尾门总成机器人补焊</v>
      </c>
      <c r="C336" s="35" t="s">
        <v>861</v>
      </c>
      <c r="D336" s="35" t="s">
        <v>862</v>
      </c>
      <c r="E336" s="35">
        <v>1</v>
      </c>
      <c r="F336" s="60">
        <v>32</v>
      </c>
      <c r="G336" s="60" t="s">
        <v>829</v>
      </c>
      <c r="H336" s="38" t="s">
        <v>1402</v>
      </c>
      <c r="I336" s="38" t="s">
        <v>863</v>
      </c>
      <c r="J336" s="38" t="s">
        <v>1</v>
      </c>
      <c r="K336" s="38" t="s">
        <v>1</v>
      </c>
      <c r="L336" s="2" t="s">
        <v>794</v>
      </c>
      <c r="M336" s="2" t="s">
        <v>3</v>
      </c>
    </row>
    <row r="337" spans="1:13">
      <c r="A337" s="55" t="str">
        <f t="shared" ref="A337:A338" si="65">A336</f>
        <v>W1BD1-060</v>
      </c>
      <c r="B337" s="56" t="str">
        <f>IF(A337="","",VLOOKUP(A337,工位附件!D:E,2,FALSE))</f>
        <v>尾门总成机器人补焊</v>
      </c>
      <c r="C337" s="35"/>
      <c r="D337" s="35"/>
      <c r="E337" s="35"/>
      <c r="F337" s="60"/>
      <c r="G337" s="60"/>
      <c r="H337" s="38"/>
      <c r="I337" s="38"/>
      <c r="J337" s="38"/>
      <c r="K337" s="38"/>
      <c r="L337" s="2"/>
      <c r="M337" s="2"/>
    </row>
    <row r="338" spans="1:13">
      <c r="A338" s="55" t="str">
        <f t="shared" si="65"/>
        <v>W1BD1-060</v>
      </c>
      <c r="B338" s="56" t="str">
        <f>IF(A338="","",VLOOKUP(A338,工位附件!D:E,2,FALSE))</f>
        <v>尾门总成机器人补焊</v>
      </c>
      <c r="C338" s="35"/>
      <c r="D338" s="35"/>
      <c r="E338" s="35"/>
      <c r="F338" s="60"/>
      <c r="G338" s="60"/>
      <c r="H338" s="38"/>
      <c r="I338" s="38"/>
      <c r="J338" s="38"/>
      <c r="K338" s="38"/>
      <c r="L338" s="2"/>
      <c r="M338" s="2"/>
    </row>
    <row r="339" spans="1:13" ht="14.4" customHeight="1">
      <c r="A339" s="55" t="s">
        <v>243</v>
      </c>
      <c r="B339" s="56" t="str">
        <f>IF(A339="","",VLOOKUP(A339,工位附件!D:E,2,FALSE))</f>
        <v>尾门总成人工补焊</v>
      </c>
      <c r="C339" s="35" t="s">
        <v>864</v>
      </c>
      <c r="D339" s="35" t="s">
        <v>865</v>
      </c>
      <c r="E339" s="35">
        <v>1</v>
      </c>
      <c r="F339" s="60">
        <v>12</v>
      </c>
      <c r="G339" s="60" t="s">
        <v>829</v>
      </c>
      <c r="H339" s="38" t="s">
        <v>1368</v>
      </c>
      <c r="I339" s="38" t="s">
        <v>866</v>
      </c>
      <c r="J339" s="38" t="s">
        <v>1</v>
      </c>
      <c r="K339" s="38" t="s">
        <v>1</v>
      </c>
      <c r="L339" s="2" t="s">
        <v>2</v>
      </c>
      <c r="M339" s="2" t="s">
        <v>3</v>
      </c>
    </row>
    <row r="340" spans="1:13">
      <c r="A340" s="55" t="str">
        <f t="shared" ref="A340:A342" si="66">A339</f>
        <v>W1BD1-065</v>
      </c>
      <c r="B340" s="56" t="str">
        <f>IF(A340="","",VLOOKUP(A340,工位附件!D:E,2,FALSE))</f>
        <v>尾门总成人工补焊</v>
      </c>
      <c r="C340" s="35" t="s">
        <v>867</v>
      </c>
      <c r="D340" s="35" t="s">
        <v>868</v>
      </c>
      <c r="E340" s="35">
        <v>1</v>
      </c>
      <c r="F340" s="60"/>
      <c r="G340" s="60"/>
      <c r="H340" s="38"/>
      <c r="I340" s="38"/>
      <c r="J340" s="38"/>
      <c r="K340" s="38"/>
      <c r="L340" s="2"/>
      <c r="M340" s="2"/>
    </row>
    <row r="341" spans="1:13">
      <c r="A341" s="55" t="str">
        <f t="shared" si="66"/>
        <v>W1BD1-065</v>
      </c>
      <c r="B341" s="56" t="str">
        <f>IF(A341="","",VLOOKUP(A341,工位附件!D:E,2,FALSE))</f>
        <v>尾门总成人工补焊</v>
      </c>
      <c r="C341" s="35" t="s">
        <v>869</v>
      </c>
      <c r="D341" s="35" t="s">
        <v>870</v>
      </c>
      <c r="E341" s="35">
        <v>2</v>
      </c>
      <c r="F341" s="60"/>
      <c r="G341" s="60"/>
      <c r="H341" s="38"/>
      <c r="I341" s="38"/>
      <c r="J341" s="38"/>
      <c r="K341" s="38"/>
      <c r="L341" s="2"/>
      <c r="M341" s="2"/>
    </row>
    <row r="342" spans="1:13">
      <c r="A342" s="55" t="str">
        <f t="shared" si="66"/>
        <v>W1BD1-065</v>
      </c>
      <c r="B342" s="56" t="str">
        <f>IF(A342="","",VLOOKUP(A342,工位附件!D:E,2,FALSE))</f>
        <v>尾门总成人工补焊</v>
      </c>
      <c r="C342" s="35"/>
      <c r="D342" s="35"/>
      <c r="E342" s="35"/>
      <c r="F342" s="60"/>
      <c r="G342" s="60"/>
      <c r="H342" s="38"/>
      <c r="I342" s="38"/>
      <c r="J342" s="38"/>
      <c r="K342" s="38"/>
      <c r="L342" s="2"/>
      <c r="M342" s="2"/>
    </row>
    <row r="343" spans="1:13" ht="14.4" customHeight="1">
      <c r="A343" s="55" t="s">
        <v>259</v>
      </c>
      <c r="B343" s="56" t="str">
        <f>IF(A343="","",VLOOKUP(A343,工位附件!D:E,2,FALSE))</f>
        <v>左前门内板分总成点定</v>
      </c>
      <c r="C343" s="35" t="s">
        <v>871</v>
      </c>
      <c r="D343" s="35" t="s">
        <v>872</v>
      </c>
      <c r="E343" s="35">
        <v>1</v>
      </c>
      <c r="F343" s="60">
        <v>30</v>
      </c>
      <c r="G343" s="60" t="s">
        <v>829</v>
      </c>
      <c r="H343" s="52" t="s">
        <v>1369</v>
      </c>
      <c r="I343" s="38" t="s">
        <v>873</v>
      </c>
      <c r="J343" s="38" t="s">
        <v>1</v>
      </c>
      <c r="K343" s="38" t="s">
        <v>1</v>
      </c>
      <c r="L343" s="2" t="s">
        <v>2</v>
      </c>
      <c r="M343" s="2" t="s">
        <v>797</v>
      </c>
    </row>
    <row r="344" spans="1:13">
      <c r="A344" s="55" t="str">
        <f t="shared" ref="A344:A347" si="67">A343</f>
        <v>W1FD1-010L</v>
      </c>
      <c r="B344" s="56" t="str">
        <f>IF(A344="","",VLOOKUP(A344,工位附件!D:E,2,FALSE))</f>
        <v>左前门内板分总成点定</v>
      </c>
      <c r="C344" s="35" t="s">
        <v>874</v>
      </c>
      <c r="D344" s="35" t="s">
        <v>875</v>
      </c>
      <c r="E344" s="35">
        <v>1</v>
      </c>
      <c r="F344" s="60"/>
      <c r="G344" s="60"/>
      <c r="H344" s="52" t="s">
        <v>1370</v>
      </c>
      <c r="I344" s="38" t="s">
        <v>876</v>
      </c>
      <c r="J344" s="38" t="s">
        <v>1</v>
      </c>
      <c r="K344" s="38" t="s">
        <v>1</v>
      </c>
      <c r="L344" s="2" t="s">
        <v>2</v>
      </c>
      <c r="M344" s="2" t="s">
        <v>797</v>
      </c>
    </row>
    <row r="345" spans="1:13">
      <c r="A345" s="55" t="str">
        <f t="shared" si="67"/>
        <v>W1FD1-010L</v>
      </c>
      <c r="B345" s="56" t="str">
        <f>IF(A345="","",VLOOKUP(A345,工位附件!D:E,2,FALSE))</f>
        <v>左前门内板分总成点定</v>
      </c>
      <c r="C345" s="35" t="s">
        <v>877</v>
      </c>
      <c r="D345" s="35" t="s">
        <v>878</v>
      </c>
      <c r="E345" s="35">
        <v>1</v>
      </c>
      <c r="F345" s="60"/>
      <c r="G345" s="60"/>
      <c r="H345" s="38"/>
      <c r="I345" s="38"/>
      <c r="J345" s="38"/>
      <c r="K345" s="38"/>
      <c r="L345" s="2"/>
      <c r="M345" s="2"/>
    </row>
    <row r="346" spans="1:13">
      <c r="A346" s="55" t="str">
        <f t="shared" si="67"/>
        <v>W1FD1-010L</v>
      </c>
      <c r="B346" s="56" t="str">
        <f>IF(A346="","",VLOOKUP(A346,工位附件!D:E,2,FALSE))</f>
        <v>左前门内板分总成点定</v>
      </c>
      <c r="C346" s="35" t="s">
        <v>879</v>
      </c>
      <c r="D346" s="35" t="s">
        <v>880</v>
      </c>
      <c r="E346" s="35">
        <v>1</v>
      </c>
      <c r="F346" s="60"/>
      <c r="G346" s="60"/>
      <c r="H346" s="38"/>
      <c r="I346" s="38"/>
      <c r="J346" s="38"/>
      <c r="K346" s="38"/>
      <c r="L346" s="2"/>
      <c r="M346" s="2"/>
    </row>
    <row r="347" spans="1:13">
      <c r="A347" s="55" t="str">
        <f t="shared" si="67"/>
        <v>W1FD1-010L</v>
      </c>
      <c r="B347" s="56" t="str">
        <f>IF(A347="","",VLOOKUP(A347,工位附件!D:E,2,FALSE))</f>
        <v>左前门内板分总成点定</v>
      </c>
      <c r="C347" s="35" t="s">
        <v>881</v>
      </c>
      <c r="D347" s="35" t="s">
        <v>882</v>
      </c>
      <c r="E347" s="35">
        <v>2</v>
      </c>
      <c r="F347" s="60"/>
      <c r="G347" s="60"/>
      <c r="H347" s="38"/>
      <c r="I347" s="38"/>
      <c r="J347" s="38"/>
      <c r="K347" s="38"/>
      <c r="L347" s="2"/>
      <c r="M347" s="2"/>
    </row>
    <row r="348" spans="1:13" ht="14.4" customHeight="1">
      <c r="A348" s="55" t="s">
        <v>261</v>
      </c>
      <c r="B348" s="56" t="str">
        <f>IF(A348="","",VLOOKUP(A348,工位附件!D:E,2,FALSE))</f>
        <v>左前门内板分总成补焊</v>
      </c>
      <c r="C348" s="35" t="s">
        <v>883</v>
      </c>
      <c r="D348" s="35" t="s">
        <v>884</v>
      </c>
      <c r="E348" s="35">
        <v>1</v>
      </c>
      <c r="F348" s="60">
        <v>48</v>
      </c>
      <c r="G348" s="60" t="s">
        <v>829</v>
      </c>
      <c r="H348" s="52" t="s">
        <v>1371</v>
      </c>
      <c r="I348" s="38" t="s">
        <v>885</v>
      </c>
      <c r="J348" s="38" t="s">
        <v>1</v>
      </c>
      <c r="K348" s="38" t="s">
        <v>1</v>
      </c>
      <c r="L348" s="2" t="s">
        <v>2</v>
      </c>
      <c r="M348" s="2" t="s">
        <v>797</v>
      </c>
    </row>
    <row r="349" spans="1:13">
      <c r="A349" s="55" t="str">
        <f t="shared" ref="A349:A350" si="68">A348</f>
        <v>W1FD1-020L</v>
      </c>
      <c r="B349" s="56" t="str">
        <f>IF(A349="","",VLOOKUP(A349,工位附件!D:E,2,FALSE))</f>
        <v>左前门内板分总成补焊</v>
      </c>
      <c r="C349" s="35"/>
      <c r="D349" s="35"/>
      <c r="E349" s="35"/>
      <c r="F349" s="60"/>
      <c r="G349" s="60"/>
      <c r="H349" s="52" t="s">
        <v>1372</v>
      </c>
      <c r="I349" s="38" t="s">
        <v>886</v>
      </c>
      <c r="J349" s="38" t="s">
        <v>1</v>
      </c>
      <c r="K349" s="38" t="s">
        <v>1</v>
      </c>
      <c r="L349" s="2" t="s">
        <v>2</v>
      </c>
      <c r="M349" s="2" t="s">
        <v>797</v>
      </c>
    </row>
    <row r="350" spans="1:13">
      <c r="A350" s="55" t="str">
        <f t="shared" si="68"/>
        <v>W1FD1-020L</v>
      </c>
      <c r="B350" s="56" t="str">
        <f>IF(A350="","",VLOOKUP(A350,工位附件!D:E,2,FALSE))</f>
        <v>左前门内板分总成补焊</v>
      </c>
      <c r="C350" s="35"/>
      <c r="D350" s="35"/>
      <c r="E350" s="35"/>
      <c r="F350" s="60"/>
      <c r="G350" s="60"/>
      <c r="H350" s="38"/>
      <c r="I350" s="38"/>
      <c r="J350" s="38"/>
      <c r="K350" s="38"/>
      <c r="L350" s="2"/>
      <c r="M350" s="2"/>
    </row>
    <row r="351" spans="1:13">
      <c r="A351" s="55" t="s">
        <v>263</v>
      </c>
      <c r="B351" s="56" t="str">
        <f>IF(A351="","",VLOOKUP(A351,工位附件!D:E,2,FALSE))</f>
        <v>左前门内板总成</v>
      </c>
      <c r="C351" s="35" t="s">
        <v>883</v>
      </c>
      <c r="D351" s="35" t="s">
        <v>884</v>
      </c>
      <c r="E351" s="35">
        <v>1</v>
      </c>
      <c r="F351" s="60">
        <v>33</v>
      </c>
      <c r="G351" s="60" t="s">
        <v>829</v>
      </c>
      <c r="H351" s="51" t="s">
        <v>1373</v>
      </c>
      <c r="I351" s="51" t="s">
        <v>887</v>
      </c>
      <c r="J351" s="38" t="s">
        <v>1</v>
      </c>
      <c r="K351" s="38" t="s">
        <v>1</v>
      </c>
      <c r="L351" s="2" t="s">
        <v>2</v>
      </c>
      <c r="M351" s="2" t="s">
        <v>797</v>
      </c>
    </row>
    <row r="352" spans="1:13">
      <c r="A352" s="55" t="str">
        <f t="shared" ref="A352:A355" si="69">A351</f>
        <v>W1FD1-030L</v>
      </c>
      <c r="B352" s="56" t="str">
        <f>IF(A352="","",VLOOKUP(A352,工位附件!D:E,2,FALSE))</f>
        <v>左前门内板总成</v>
      </c>
      <c r="C352" s="35" t="s">
        <v>1340</v>
      </c>
      <c r="D352" s="35" t="s">
        <v>888</v>
      </c>
      <c r="E352" s="35">
        <v>1</v>
      </c>
      <c r="F352" s="60"/>
      <c r="G352" s="60"/>
      <c r="H352" s="51" t="s">
        <v>1374</v>
      </c>
      <c r="I352" s="51" t="s">
        <v>889</v>
      </c>
      <c r="J352" s="38" t="s">
        <v>1</v>
      </c>
      <c r="K352" s="38" t="s">
        <v>1</v>
      </c>
      <c r="L352" s="2" t="s">
        <v>2</v>
      </c>
      <c r="M352" s="2" t="s">
        <v>797</v>
      </c>
    </row>
    <row r="353" spans="1:13">
      <c r="A353" s="55" t="str">
        <f t="shared" si="69"/>
        <v>W1FD1-030L</v>
      </c>
      <c r="B353" s="56" t="str">
        <f>IF(A353="","",VLOOKUP(A353,工位附件!D:E,2,FALSE))</f>
        <v>左前门内板总成</v>
      </c>
      <c r="C353" s="35" t="s">
        <v>890</v>
      </c>
      <c r="D353" s="35" t="s">
        <v>891</v>
      </c>
      <c r="E353" s="35">
        <v>1</v>
      </c>
      <c r="F353" s="60"/>
      <c r="G353" s="60"/>
      <c r="H353" s="51"/>
      <c r="I353" s="51"/>
      <c r="J353" s="38"/>
      <c r="K353" s="38"/>
      <c r="L353" s="2"/>
      <c r="M353" s="2"/>
    </row>
    <row r="354" spans="1:13">
      <c r="A354" s="55" t="str">
        <f t="shared" si="69"/>
        <v>W1FD1-030L</v>
      </c>
      <c r="B354" s="56" t="str">
        <f>IF(A354="","",VLOOKUP(A354,工位附件!D:E,2,FALSE))</f>
        <v>左前门内板总成</v>
      </c>
      <c r="C354" s="35" t="s">
        <v>1341</v>
      </c>
      <c r="D354" s="35" t="s">
        <v>892</v>
      </c>
      <c r="E354" s="35">
        <v>1</v>
      </c>
      <c r="F354" s="60"/>
      <c r="G354" s="60"/>
      <c r="H354" s="51"/>
      <c r="I354" s="51"/>
      <c r="J354" s="38"/>
      <c r="K354" s="38"/>
      <c r="L354" s="2"/>
      <c r="M354" s="2"/>
    </row>
    <row r="355" spans="1:13">
      <c r="A355" s="55" t="str">
        <f t="shared" si="69"/>
        <v>W1FD1-030L</v>
      </c>
      <c r="B355" s="56" t="str">
        <f>IF(A355="","",VLOOKUP(A355,工位附件!D:E,2,FALSE))</f>
        <v>左前门内板总成</v>
      </c>
      <c r="C355" s="35"/>
      <c r="D355" s="35"/>
      <c r="E355" s="35"/>
      <c r="F355" s="60"/>
      <c r="G355" s="60"/>
      <c r="H355" s="51"/>
      <c r="I355" s="51"/>
      <c r="J355" s="38"/>
      <c r="K355" s="38"/>
      <c r="L355" s="2"/>
      <c r="M355" s="2"/>
    </row>
    <row r="356" spans="1:13">
      <c r="A356" s="55" t="s">
        <v>263</v>
      </c>
      <c r="B356" s="56" t="str">
        <f>IF(A356="","",VLOOKUP(A356,工位附件!D:E,2,FALSE))</f>
        <v>左前门内板总成</v>
      </c>
      <c r="C356" s="35" t="s">
        <v>883</v>
      </c>
      <c r="D356" s="35" t="s">
        <v>884</v>
      </c>
      <c r="E356" s="35">
        <v>1</v>
      </c>
      <c r="F356" s="60">
        <v>31</v>
      </c>
      <c r="G356" s="60" t="s">
        <v>829</v>
      </c>
      <c r="H356" s="51" t="s">
        <v>1375</v>
      </c>
      <c r="I356" s="51" t="s">
        <v>887</v>
      </c>
      <c r="J356" s="38" t="s">
        <v>1</v>
      </c>
      <c r="K356" s="38" t="s">
        <v>1</v>
      </c>
      <c r="L356" s="2" t="s">
        <v>2</v>
      </c>
      <c r="M356" s="2" t="s">
        <v>797</v>
      </c>
    </row>
    <row r="357" spans="1:13">
      <c r="A357" s="55" t="str">
        <f t="shared" ref="A357:A359" si="70">A356</f>
        <v>W1FD1-030L</v>
      </c>
      <c r="B357" s="56" t="str">
        <f>IF(A357="","",VLOOKUP(A357,工位附件!D:E,2,FALSE))</f>
        <v>左前门内板总成</v>
      </c>
      <c r="C357" s="35" t="s">
        <v>1342</v>
      </c>
      <c r="D357" s="35" t="s">
        <v>893</v>
      </c>
      <c r="E357" s="35">
        <v>1</v>
      </c>
      <c r="F357" s="60"/>
      <c r="G357" s="60"/>
      <c r="H357" s="51" t="s">
        <v>1376</v>
      </c>
      <c r="I357" s="51" t="s">
        <v>510</v>
      </c>
      <c r="J357" s="38" t="s">
        <v>1</v>
      </c>
      <c r="K357" s="38" t="s">
        <v>1</v>
      </c>
      <c r="L357" s="2" t="s">
        <v>2</v>
      </c>
      <c r="M357" s="2" t="s">
        <v>797</v>
      </c>
    </row>
    <row r="358" spans="1:13">
      <c r="A358" s="55" t="str">
        <f t="shared" si="70"/>
        <v>W1FD1-030L</v>
      </c>
      <c r="B358" s="56" t="str">
        <f>IF(A358="","",VLOOKUP(A358,工位附件!D:E,2,FALSE))</f>
        <v>左前门内板总成</v>
      </c>
      <c r="C358" s="35" t="s">
        <v>890</v>
      </c>
      <c r="D358" s="35" t="s">
        <v>891</v>
      </c>
      <c r="E358" s="35">
        <v>1</v>
      </c>
      <c r="F358" s="60"/>
      <c r="G358" s="60"/>
      <c r="H358" s="38"/>
      <c r="I358" s="38"/>
      <c r="J358" s="38"/>
      <c r="K358" s="38"/>
      <c r="L358" s="2"/>
      <c r="M358" s="2"/>
    </row>
    <row r="359" spans="1:13">
      <c r="A359" s="55" t="str">
        <f t="shared" si="70"/>
        <v>W1FD1-030L</v>
      </c>
      <c r="B359" s="56" t="str">
        <f>IF(A359="","",VLOOKUP(A359,工位附件!D:E,2,FALSE))</f>
        <v>左前门内板总成</v>
      </c>
      <c r="C359" s="35"/>
      <c r="D359" s="35"/>
      <c r="E359" s="35"/>
      <c r="F359" s="60"/>
      <c r="G359" s="60"/>
      <c r="H359" s="38"/>
      <c r="I359" s="38"/>
      <c r="J359" s="38"/>
      <c r="K359" s="38"/>
      <c r="L359" s="2"/>
      <c r="M359" s="2"/>
    </row>
    <row r="360" spans="1:13" ht="14.4" customHeight="1">
      <c r="A360" s="55" t="s">
        <v>289</v>
      </c>
      <c r="B360" s="56" t="str">
        <f>IF(A360="","",VLOOKUP(A360,工位附件!D:E,2,FALSE))</f>
        <v>左后门内板分总成点定</v>
      </c>
      <c r="C360" s="35" t="s">
        <v>894</v>
      </c>
      <c r="D360" s="35" t="s">
        <v>895</v>
      </c>
      <c r="E360" s="35">
        <v>1</v>
      </c>
      <c r="F360" s="64">
        <v>28</v>
      </c>
      <c r="G360" s="60" t="s">
        <v>829</v>
      </c>
      <c r="H360" s="52" t="s">
        <v>1377</v>
      </c>
      <c r="I360" s="38" t="s">
        <v>896</v>
      </c>
      <c r="J360" s="38" t="s">
        <v>1</v>
      </c>
      <c r="K360" s="38" t="s">
        <v>1</v>
      </c>
      <c r="L360" s="2" t="s">
        <v>2</v>
      </c>
      <c r="M360" s="2" t="s">
        <v>797</v>
      </c>
    </row>
    <row r="361" spans="1:13">
      <c r="A361" s="55" t="str">
        <f t="shared" ref="A361:A365" si="71">A360</f>
        <v>W1RD1-010L</v>
      </c>
      <c r="B361" s="56" t="str">
        <f>IF(A361="","",VLOOKUP(A361,工位附件!D:E,2,FALSE))</f>
        <v>左后门内板分总成点定</v>
      </c>
      <c r="C361" s="35" t="s">
        <v>897</v>
      </c>
      <c r="D361" s="35" t="s">
        <v>898</v>
      </c>
      <c r="E361" s="35">
        <v>1</v>
      </c>
      <c r="F361" s="64"/>
      <c r="G361" s="60"/>
      <c r="H361" s="52" t="s">
        <v>1378</v>
      </c>
      <c r="I361" s="38" t="s">
        <v>899</v>
      </c>
      <c r="J361" s="38" t="s">
        <v>1</v>
      </c>
      <c r="K361" s="38" t="s">
        <v>1</v>
      </c>
      <c r="L361" s="2" t="s">
        <v>2</v>
      </c>
      <c r="M361" s="2" t="s">
        <v>797</v>
      </c>
    </row>
    <row r="362" spans="1:13">
      <c r="A362" s="55" t="str">
        <f t="shared" si="71"/>
        <v>W1RD1-010L</v>
      </c>
      <c r="B362" s="56" t="str">
        <f>IF(A362="","",VLOOKUP(A362,工位附件!D:E,2,FALSE))</f>
        <v>左后门内板分总成点定</v>
      </c>
      <c r="C362" s="35" t="s">
        <v>900</v>
      </c>
      <c r="D362" s="35" t="s">
        <v>901</v>
      </c>
      <c r="E362" s="35">
        <v>1</v>
      </c>
      <c r="F362" s="64"/>
      <c r="G362" s="60"/>
      <c r="H362" s="38"/>
      <c r="I362" s="38"/>
      <c r="J362" s="38"/>
      <c r="K362" s="38"/>
      <c r="L362" s="2"/>
      <c r="M362" s="2"/>
    </row>
    <row r="363" spans="1:13">
      <c r="A363" s="55" t="str">
        <f t="shared" si="71"/>
        <v>W1RD1-010L</v>
      </c>
      <c r="B363" s="56" t="str">
        <f>IF(A363="","",VLOOKUP(A363,工位附件!D:E,2,FALSE))</f>
        <v>左后门内板分总成点定</v>
      </c>
      <c r="C363" s="35" t="s">
        <v>902</v>
      </c>
      <c r="D363" s="35" t="s">
        <v>903</v>
      </c>
      <c r="E363" s="35">
        <v>1</v>
      </c>
      <c r="F363" s="64"/>
      <c r="G363" s="60"/>
      <c r="H363" s="38"/>
      <c r="I363" s="38"/>
      <c r="J363" s="38"/>
      <c r="K363" s="38"/>
      <c r="L363" s="2"/>
      <c r="M363" s="2"/>
    </row>
    <row r="364" spans="1:13">
      <c r="A364" s="55" t="str">
        <f t="shared" si="71"/>
        <v>W1RD1-010L</v>
      </c>
      <c r="B364" s="56" t="str">
        <f>IF(A364="","",VLOOKUP(A364,工位附件!D:E,2,FALSE))</f>
        <v>左后门内板分总成点定</v>
      </c>
      <c r="C364" s="35" t="s">
        <v>881</v>
      </c>
      <c r="D364" s="35" t="s">
        <v>882</v>
      </c>
      <c r="E364" s="35">
        <v>2</v>
      </c>
      <c r="F364" s="64"/>
      <c r="G364" s="60"/>
      <c r="H364" s="38"/>
      <c r="I364" s="38"/>
      <c r="J364" s="38"/>
      <c r="K364" s="38"/>
      <c r="L364" s="2"/>
      <c r="M364" s="2"/>
    </row>
    <row r="365" spans="1:13">
      <c r="A365" s="55" t="str">
        <f t="shared" si="71"/>
        <v>W1RD1-010L</v>
      </c>
      <c r="B365" s="56" t="str">
        <f>IF(A365="","",VLOOKUP(A365,工位附件!D:E,2,FALSE))</f>
        <v>左后门内板分总成点定</v>
      </c>
      <c r="C365" s="35"/>
      <c r="D365" s="35"/>
      <c r="E365" s="35"/>
      <c r="F365" s="64"/>
      <c r="G365" s="60"/>
      <c r="H365" s="38"/>
      <c r="I365" s="38"/>
      <c r="J365" s="38"/>
      <c r="K365" s="38"/>
      <c r="L365" s="2"/>
      <c r="M365" s="2"/>
    </row>
    <row r="366" spans="1:13" ht="14.4" customHeight="1">
      <c r="A366" s="55" t="s">
        <v>291</v>
      </c>
      <c r="B366" s="56" t="str">
        <f>IF(A366="","",VLOOKUP(A366,工位附件!D:E,2,FALSE))</f>
        <v>左后门内板分总成补焊</v>
      </c>
      <c r="C366" s="35" t="s">
        <v>904</v>
      </c>
      <c r="D366" s="35" t="s">
        <v>905</v>
      </c>
      <c r="E366" s="35">
        <v>1</v>
      </c>
      <c r="F366" s="60">
        <v>40</v>
      </c>
      <c r="G366" s="60" t="s">
        <v>829</v>
      </c>
      <c r="H366" s="51" t="s">
        <v>1379</v>
      </c>
      <c r="I366" s="51" t="s">
        <v>906</v>
      </c>
      <c r="J366" s="38" t="s">
        <v>1</v>
      </c>
      <c r="K366" s="38" t="s">
        <v>1</v>
      </c>
      <c r="L366" s="2" t="s">
        <v>2</v>
      </c>
      <c r="M366" s="2" t="s">
        <v>797</v>
      </c>
    </row>
    <row r="367" spans="1:13">
      <c r="A367" s="55" t="str">
        <f t="shared" ref="A367:A369" si="72">A366</f>
        <v>W1RD1-015L</v>
      </c>
      <c r="B367" s="56" t="str">
        <f>IF(A367="","",VLOOKUP(A367,工位附件!D:E,2,FALSE))</f>
        <v>左后门内板分总成补焊</v>
      </c>
      <c r="C367" s="35"/>
      <c r="D367" s="35"/>
      <c r="E367" s="35"/>
      <c r="F367" s="60"/>
      <c r="G367" s="60"/>
      <c r="H367" s="51" t="s">
        <v>1380</v>
      </c>
      <c r="I367" s="51" t="s">
        <v>907</v>
      </c>
      <c r="J367" s="38" t="s">
        <v>1338</v>
      </c>
      <c r="K367" s="38" t="s">
        <v>1338</v>
      </c>
      <c r="L367" s="2" t="s">
        <v>2</v>
      </c>
      <c r="M367" s="2" t="s">
        <v>797</v>
      </c>
    </row>
    <row r="368" spans="1:13">
      <c r="A368" s="55" t="str">
        <f t="shared" si="72"/>
        <v>W1RD1-015L</v>
      </c>
      <c r="B368" s="56" t="str">
        <f>IF(A368="","",VLOOKUP(A368,工位附件!D:E,2,FALSE))</f>
        <v>左后门内板分总成补焊</v>
      </c>
      <c r="C368" s="35"/>
      <c r="D368" s="35"/>
      <c r="E368" s="35"/>
      <c r="F368" s="60"/>
      <c r="G368" s="60"/>
      <c r="H368" s="51"/>
      <c r="I368" s="51"/>
      <c r="J368" s="38"/>
      <c r="K368" s="38"/>
      <c r="L368" s="2"/>
      <c r="M368" s="2"/>
    </row>
    <row r="369" spans="1:13">
      <c r="A369" s="55" t="str">
        <f t="shared" si="72"/>
        <v>W1RD1-015L</v>
      </c>
      <c r="B369" s="56" t="str">
        <f>IF(A369="","",VLOOKUP(A369,工位附件!D:E,2,FALSE))</f>
        <v>左后门内板分总成补焊</v>
      </c>
      <c r="C369" s="35"/>
      <c r="D369" s="35"/>
      <c r="E369" s="35"/>
      <c r="F369" s="60"/>
      <c r="G369" s="60"/>
      <c r="H369" s="38"/>
      <c r="I369" s="38"/>
      <c r="J369" s="38"/>
      <c r="K369" s="38"/>
      <c r="L369" s="2"/>
      <c r="M369" s="2"/>
    </row>
    <row r="370" spans="1:13">
      <c r="A370" s="55" t="s">
        <v>293</v>
      </c>
      <c r="B370" s="56" t="str">
        <f>IF(A370="","",VLOOKUP(A370,工位附件!D:E,2,FALSE))</f>
        <v>左后门内板总成</v>
      </c>
      <c r="C370" s="35" t="s">
        <v>1331</v>
      </c>
      <c r="D370" s="35" t="s">
        <v>908</v>
      </c>
      <c r="E370" s="35">
        <v>1</v>
      </c>
      <c r="F370" s="64">
        <v>31</v>
      </c>
      <c r="G370" s="60" t="s">
        <v>829</v>
      </c>
      <c r="H370" s="52" t="s">
        <v>1381</v>
      </c>
      <c r="I370" s="38" t="s">
        <v>909</v>
      </c>
      <c r="J370" s="38" t="s">
        <v>1</v>
      </c>
      <c r="K370" s="38" t="s">
        <v>1</v>
      </c>
      <c r="L370" s="2" t="s">
        <v>2</v>
      </c>
      <c r="M370" s="2" t="s">
        <v>797</v>
      </c>
    </row>
    <row r="371" spans="1:13">
      <c r="A371" s="55" t="str">
        <f t="shared" ref="A371:A374" si="73">A370</f>
        <v>W1RD1-020L</v>
      </c>
      <c r="B371" s="56" t="str">
        <f>IF(A371="","",VLOOKUP(A371,工位附件!D:E,2,FALSE))</f>
        <v>左后门内板总成</v>
      </c>
      <c r="C371" s="35" t="s">
        <v>904</v>
      </c>
      <c r="D371" s="35" t="s">
        <v>905</v>
      </c>
      <c r="E371" s="35">
        <v>1</v>
      </c>
      <c r="F371" s="64"/>
      <c r="G371" s="60"/>
      <c r="H371" s="52" t="s">
        <v>1382</v>
      </c>
      <c r="I371" s="38" t="s">
        <v>910</v>
      </c>
      <c r="J371" s="38" t="s">
        <v>1</v>
      </c>
      <c r="K371" s="38" t="s">
        <v>1</v>
      </c>
      <c r="L371" s="2" t="s">
        <v>2</v>
      </c>
      <c r="M371" s="2" t="s">
        <v>797</v>
      </c>
    </row>
    <row r="372" spans="1:13">
      <c r="A372" s="55" t="str">
        <f t="shared" si="73"/>
        <v>W1RD1-020L</v>
      </c>
      <c r="B372" s="56" t="str">
        <f>IF(A372="","",VLOOKUP(A372,工位附件!D:E,2,FALSE))</f>
        <v>左后门内板总成</v>
      </c>
      <c r="C372" s="35" t="s">
        <v>1332</v>
      </c>
      <c r="D372" s="35" t="s">
        <v>911</v>
      </c>
      <c r="E372" s="35">
        <v>1</v>
      </c>
      <c r="F372" s="64"/>
      <c r="G372" s="60"/>
      <c r="H372" s="52" t="s">
        <v>1383</v>
      </c>
      <c r="I372" s="38" t="s">
        <v>912</v>
      </c>
      <c r="J372" s="38" t="s">
        <v>1</v>
      </c>
      <c r="K372" s="38" t="s">
        <v>1</v>
      </c>
      <c r="L372" s="2" t="s">
        <v>2</v>
      </c>
      <c r="M372" s="2" t="s">
        <v>797</v>
      </c>
    </row>
    <row r="373" spans="1:13">
      <c r="A373" s="55" t="str">
        <f t="shared" si="73"/>
        <v>W1RD1-020L</v>
      </c>
      <c r="B373" s="56" t="str">
        <f>IF(A373="","",VLOOKUP(A373,工位附件!D:E,2,FALSE))</f>
        <v>左后门内板总成</v>
      </c>
      <c r="C373" s="35" t="s">
        <v>1333</v>
      </c>
      <c r="D373" s="35" t="s">
        <v>914</v>
      </c>
      <c r="E373" s="35">
        <v>1</v>
      </c>
      <c r="F373" s="64"/>
      <c r="G373" s="60"/>
      <c r="H373" s="38"/>
      <c r="I373" s="38"/>
      <c r="J373" s="38"/>
      <c r="K373" s="38"/>
      <c r="L373" s="2"/>
      <c r="M373" s="2"/>
    </row>
    <row r="374" spans="1:13">
      <c r="A374" s="55" t="str">
        <f t="shared" si="73"/>
        <v>W1RD1-020L</v>
      </c>
      <c r="B374" s="56" t="str">
        <f>IF(A374="","",VLOOKUP(A374,工位附件!D:E,2,FALSE))</f>
        <v>左后门内板总成</v>
      </c>
      <c r="C374" s="35"/>
      <c r="D374" s="35"/>
      <c r="E374" s="35"/>
      <c r="F374" s="64"/>
      <c r="G374" s="60"/>
      <c r="H374" s="38"/>
      <c r="I374" s="38"/>
      <c r="J374" s="38"/>
      <c r="K374" s="38"/>
      <c r="L374" s="2"/>
      <c r="M374" s="2"/>
    </row>
    <row r="375" spans="1:13">
      <c r="A375" s="55" t="s">
        <v>293</v>
      </c>
      <c r="B375" s="56" t="str">
        <f>IF(A375="","",VLOOKUP(A375,工位附件!D:E,2,FALSE))</f>
        <v>左后门内板总成</v>
      </c>
      <c r="C375" s="35" t="s">
        <v>1334</v>
      </c>
      <c r="D375" s="35" t="s">
        <v>905</v>
      </c>
      <c r="E375" s="35">
        <v>1</v>
      </c>
      <c r="F375" s="60">
        <v>31</v>
      </c>
      <c r="G375" s="60" t="s">
        <v>829</v>
      </c>
      <c r="H375" s="52" t="s">
        <v>1384</v>
      </c>
      <c r="I375" s="38" t="s">
        <v>909</v>
      </c>
      <c r="J375" s="38" t="s">
        <v>1</v>
      </c>
      <c r="K375" s="38" t="s">
        <v>1</v>
      </c>
      <c r="L375" s="2" t="s">
        <v>2</v>
      </c>
      <c r="M375" s="2" t="s">
        <v>797</v>
      </c>
    </row>
    <row r="376" spans="1:13">
      <c r="A376" s="55" t="str">
        <f t="shared" ref="A376:A379" si="74">A375</f>
        <v>W1RD1-020L</v>
      </c>
      <c r="B376" s="56" t="str">
        <f>IF(A376="","",VLOOKUP(A376,工位附件!D:E,2,FALSE))</f>
        <v>左后门内板总成</v>
      </c>
      <c r="C376" s="35" t="s">
        <v>1335</v>
      </c>
      <c r="D376" s="35" t="s">
        <v>915</v>
      </c>
      <c r="E376" s="35">
        <v>1</v>
      </c>
      <c r="F376" s="60"/>
      <c r="G376" s="60"/>
      <c r="H376" s="52" t="s">
        <v>1385</v>
      </c>
      <c r="I376" s="38" t="s">
        <v>910</v>
      </c>
      <c r="J376" s="38" t="s">
        <v>1</v>
      </c>
      <c r="K376" s="38" t="s">
        <v>1</v>
      </c>
      <c r="L376" s="2" t="s">
        <v>2</v>
      </c>
      <c r="M376" s="2" t="s">
        <v>797</v>
      </c>
    </row>
    <row r="377" spans="1:13">
      <c r="A377" s="55" t="str">
        <f t="shared" si="74"/>
        <v>W1RD1-020L</v>
      </c>
      <c r="B377" s="56" t="str">
        <f>IF(A377="","",VLOOKUP(A377,工位附件!D:E,2,FALSE))</f>
        <v>左后门内板总成</v>
      </c>
      <c r="C377" s="35" t="s">
        <v>913</v>
      </c>
      <c r="D377" s="35" t="s">
        <v>914</v>
      </c>
      <c r="E377" s="35">
        <v>1</v>
      </c>
      <c r="F377" s="60"/>
      <c r="G377" s="60"/>
      <c r="H377" s="52" t="s">
        <v>1383</v>
      </c>
      <c r="I377" s="38" t="s">
        <v>912</v>
      </c>
      <c r="J377" s="38" t="s">
        <v>1</v>
      </c>
      <c r="K377" s="38" t="s">
        <v>1</v>
      </c>
      <c r="L377" s="2" t="s">
        <v>2</v>
      </c>
      <c r="M377" s="2" t="s">
        <v>797</v>
      </c>
    </row>
    <row r="378" spans="1:13">
      <c r="A378" s="55" t="str">
        <f t="shared" si="74"/>
        <v>W1RD1-020L</v>
      </c>
      <c r="B378" s="56" t="str">
        <f>IF(A378="","",VLOOKUP(A378,工位附件!D:E,2,FALSE))</f>
        <v>左后门内板总成</v>
      </c>
      <c r="C378" s="35"/>
      <c r="D378" s="35"/>
      <c r="E378" s="35"/>
      <c r="F378" s="60"/>
      <c r="G378" s="60"/>
      <c r="H378" s="38"/>
      <c r="I378" s="38"/>
      <c r="J378" s="38"/>
      <c r="K378" s="38"/>
      <c r="L378" s="2"/>
      <c r="M378" s="2"/>
    </row>
    <row r="379" spans="1:13">
      <c r="A379" s="55" t="str">
        <f t="shared" si="74"/>
        <v>W1RD1-020L</v>
      </c>
      <c r="B379" s="56" t="str">
        <f>IF(A379="","",VLOOKUP(A379,工位附件!D:E,2,FALSE))</f>
        <v>左后门内板总成</v>
      </c>
      <c r="C379" s="35"/>
      <c r="D379" s="35"/>
      <c r="E379" s="35"/>
      <c r="F379" s="60"/>
      <c r="G379" s="60"/>
      <c r="H379" s="38"/>
      <c r="I379" s="38"/>
      <c r="J379" s="38"/>
      <c r="K379" s="38"/>
      <c r="L379" s="2"/>
      <c r="M379" s="2"/>
    </row>
    <row r="380" spans="1:13">
      <c r="A380" s="55" t="s">
        <v>299</v>
      </c>
      <c r="B380" s="56" t="str">
        <f>IF(A380="","",VLOOKUP(A380,工位附件!D:E,2,FALSE))</f>
        <v>左后门补焊</v>
      </c>
      <c r="C380" s="35" t="s">
        <v>916</v>
      </c>
      <c r="D380" s="35" t="s">
        <v>917</v>
      </c>
      <c r="E380" s="35">
        <v>1</v>
      </c>
      <c r="F380" s="64">
        <v>1</v>
      </c>
      <c r="G380" s="60" t="s">
        <v>829</v>
      </c>
      <c r="H380" s="38" t="s">
        <v>1351</v>
      </c>
      <c r="I380" s="38" t="s">
        <v>863</v>
      </c>
      <c r="J380" s="38" t="s">
        <v>1</v>
      </c>
      <c r="K380" s="38" t="s">
        <v>795</v>
      </c>
      <c r="L380" s="2" t="s">
        <v>794</v>
      </c>
      <c r="M380" s="2" t="s">
        <v>3</v>
      </c>
    </row>
    <row r="381" spans="1:13">
      <c r="A381" s="55" t="str">
        <f t="shared" ref="A381:A382" si="75">A380</f>
        <v>W1RD2-050L</v>
      </c>
      <c r="B381" s="56" t="str">
        <f>IF(A381="","",VLOOKUP(A381,工位附件!D:E,2,FALSE))</f>
        <v>左后门补焊</v>
      </c>
      <c r="C381" s="35" t="s">
        <v>918</v>
      </c>
      <c r="D381" s="35" t="s">
        <v>919</v>
      </c>
      <c r="E381" s="35">
        <v>1</v>
      </c>
      <c r="F381" s="64"/>
      <c r="G381" s="60"/>
      <c r="H381" s="38"/>
      <c r="I381" s="38"/>
      <c r="J381" s="38"/>
      <c r="K381" s="38"/>
      <c r="L381" s="2"/>
      <c r="M381" s="2"/>
    </row>
    <row r="382" spans="1:13">
      <c r="A382" s="55" t="str">
        <f t="shared" si="75"/>
        <v>W1RD2-050L</v>
      </c>
      <c r="B382" s="56" t="str">
        <f>IF(A382="","",VLOOKUP(A382,工位附件!D:E,2,FALSE))</f>
        <v>左后门补焊</v>
      </c>
      <c r="C382" s="35"/>
      <c r="D382" s="35"/>
      <c r="E382" s="35"/>
      <c r="F382" s="64"/>
      <c r="G382" s="60"/>
      <c r="H382" s="38"/>
      <c r="I382" s="38"/>
      <c r="J382" s="38"/>
      <c r="K382" s="38"/>
      <c r="L382" s="2"/>
      <c r="M382" s="2"/>
    </row>
    <row r="383" spans="1:13" ht="14.4" customHeight="1">
      <c r="A383" s="55" t="s">
        <v>274</v>
      </c>
      <c r="B383" s="56" t="str">
        <f>IF(A383="","",VLOOKUP(A383,工位附件!D:E,2,FALSE))</f>
        <v>右前门内板分总成点定</v>
      </c>
      <c r="C383" s="35" t="s">
        <v>920</v>
      </c>
      <c r="D383" s="35" t="s">
        <v>921</v>
      </c>
      <c r="E383" s="35">
        <v>1</v>
      </c>
      <c r="F383" s="60">
        <v>30</v>
      </c>
      <c r="G383" s="60" t="s">
        <v>829</v>
      </c>
      <c r="H383" s="51" t="s">
        <v>1386</v>
      </c>
      <c r="I383" s="51" t="s">
        <v>887</v>
      </c>
      <c r="J383" s="38" t="s">
        <v>1</v>
      </c>
      <c r="K383" s="38" t="s">
        <v>1</v>
      </c>
      <c r="L383" s="2" t="s">
        <v>2</v>
      </c>
      <c r="M383" s="2" t="s">
        <v>797</v>
      </c>
    </row>
    <row r="384" spans="1:13">
      <c r="A384" s="55" t="str">
        <f t="shared" ref="A384:A387" si="76">A383</f>
        <v>W1FD1-010R</v>
      </c>
      <c r="B384" s="56" t="str">
        <f>IF(A384="","",VLOOKUP(A384,工位附件!D:E,2,FALSE))</f>
        <v>右前门内板分总成点定</v>
      </c>
      <c r="C384" s="35" t="s">
        <v>922</v>
      </c>
      <c r="D384" s="35" t="s">
        <v>923</v>
      </c>
      <c r="E384" s="35">
        <v>1</v>
      </c>
      <c r="F384" s="60"/>
      <c r="G384" s="60"/>
      <c r="H384" s="51" t="s">
        <v>1387</v>
      </c>
      <c r="I384" s="51" t="s">
        <v>924</v>
      </c>
      <c r="J384" s="38" t="s">
        <v>1</v>
      </c>
      <c r="K384" s="38" t="s">
        <v>1</v>
      </c>
      <c r="L384" s="2" t="s">
        <v>2</v>
      </c>
      <c r="M384" s="2" t="s">
        <v>797</v>
      </c>
    </row>
    <row r="385" spans="1:13">
      <c r="A385" s="55" t="str">
        <f t="shared" si="76"/>
        <v>W1FD1-010R</v>
      </c>
      <c r="B385" s="56" t="str">
        <f>IF(A385="","",VLOOKUP(A385,工位附件!D:E,2,FALSE))</f>
        <v>右前门内板分总成点定</v>
      </c>
      <c r="C385" s="35" t="s">
        <v>925</v>
      </c>
      <c r="D385" s="35" t="s">
        <v>926</v>
      </c>
      <c r="E385" s="35">
        <v>1</v>
      </c>
      <c r="F385" s="60"/>
      <c r="G385" s="60"/>
      <c r="H385" s="51"/>
      <c r="I385" s="51"/>
      <c r="J385" s="38"/>
      <c r="K385" s="38"/>
      <c r="L385" s="2"/>
      <c r="M385" s="2"/>
    </row>
    <row r="386" spans="1:13">
      <c r="A386" s="55" t="str">
        <f t="shared" si="76"/>
        <v>W1FD1-010R</v>
      </c>
      <c r="B386" s="56" t="str">
        <f>IF(A386="","",VLOOKUP(A386,工位附件!D:E,2,FALSE))</f>
        <v>右前门内板分总成点定</v>
      </c>
      <c r="C386" s="35" t="s">
        <v>927</v>
      </c>
      <c r="D386" s="35" t="s">
        <v>928</v>
      </c>
      <c r="E386" s="35">
        <v>1</v>
      </c>
      <c r="F386" s="60"/>
      <c r="G386" s="60"/>
      <c r="H386" s="38"/>
      <c r="I386" s="38"/>
      <c r="J386" s="38"/>
      <c r="K386" s="38"/>
      <c r="L386" s="2"/>
      <c r="M386" s="2"/>
    </row>
    <row r="387" spans="1:13">
      <c r="A387" s="55" t="str">
        <f t="shared" si="76"/>
        <v>W1FD1-010R</v>
      </c>
      <c r="B387" s="56" t="str">
        <f>IF(A387="","",VLOOKUP(A387,工位附件!D:E,2,FALSE))</f>
        <v>右前门内板分总成点定</v>
      </c>
      <c r="C387" s="35" t="s">
        <v>881</v>
      </c>
      <c r="D387" s="35" t="s">
        <v>882</v>
      </c>
      <c r="E387" s="35">
        <v>2</v>
      </c>
      <c r="F387" s="60"/>
      <c r="G387" s="60"/>
      <c r="H387" s="38"/>
      <c r="I387" s="38"/>
      <c r="J387" s="38"/>
      <c r="K387" s="38"/>
      <c r="L387" s="2"/>
      <c r="M387" s="2"/>
    </row>
    <row r="388" spans="1:13" ht="14.4" customHeight="1">
      <c r="A388" s="55" t="s">
        <v>276</v>
      </c>
      <c r="B388" s="56" t="str">
        <f>IF(A388="","",VLOOKUP(A388,工位附件!D:E,2,FALSE))</f>
        <v>右前门内板分总成补焊</v>
      </c>
      <c r="C388" s="35" t="s">
        <v>929</v>
      </c>
      <c r="D388" s="35" t="s">
        <v>930</v>
      </c>
      <c r="E388" s="35">
        <v>1</v>
      </c>
      <c r="F388" s="64">
        <v>48</v>
      </c>
      <c r="G388" s="60" t="s">
        <v>829</v>
      </c>
      <c r="H388" s="52" t="s">
        <v>1388</v>
      </c>
      <c r="I388" s="38" t="s">
        <v>873</v>
      </c>
      <c r="J388" s="38" t="s">
        <v>1</v>
      </c>
      <c r="K388" s="38" t="s">
        <v>1</v>
      </c>
      <c r="L388" s="2" t="s">
        <v>2</v>
      </c>
      <c r="M388" s="2" t="s">
        <v>797</v>
      </c>
    </row>
    <row r="389" spans="1:13">
      <c r="A389" s="55" t="str">
        <f t="shared" ref="A389:A391" si="77">A388</f>
        <v>W1FD1-020R</v>
      </c>
      <c r="B389" s="56" t="str">
        <f>IF(A389="","",VLOOKUP(A389,工位附件!D:E,2,FALSE))</f>
        <v>右前门内板分总成补焊</v>
      </c>
      <c r="C389" s="35"/>
      <c r="D389" s="35"/>
      <c r="E389" s="35"/>
      <c r="F389" s="64"/>
      <c r="G389" s="60"/>
      <c r="H389" s="52" t="s">
        <v>1389</v>
      </c>
      <c r="I389" s="38" t="s">
        <v>886</v>
      </c>
      <c r="J389" s="38" t="s">
        <v>1</v>
      </c>
      <c r="K389" s="38" t="s">
        <v>1</v>
      </c>
      <c r="L389" s="2" t="s">
        <v>2</v>
      </c>
      <c r="M389" s="2" t="s">
        <v>797</v>
      </c>
    </row>
    <row r="390" spans="1:13">
      <c r="A390" s="55" t="str">
        <f t="shared" si="77"/>
        <v>W1FD1-020R</v>
      </c>
      <c r="B390" s="56" t="str">
        <f>IF(A390="","",VLOOKUP(A390,工位附件!D:E,2,FALSE))</f>
        <v>右前门内板分总成补焊</v>
      </c>
      <c r="C390" s="35"/>
      <c r="D390" s="35"/>
      <c r="E390" s="35"/>
      <c r="F390" s="64"/>
      <c r="G390" s="60"/>
      <c r="H390" s="38"/>
      <c r="I390" s="38"/>
      <c r="J390" s="38"/>
      <c r="K390" s="38"/>
      <c r="L390" s="2"/>
      <c r="M390" s="2"/>
    </row>
    <row r="391" spans="1:13">
      <c r="A391" s="55" t="str">
        <f t="shared" si="77"/>
        <v>W1FD1-020R</v>
      </c>
      <c r="B391" s="56" t="str">
        <f>IF(A391="","",VLOOKUP(A391,工位附件!D:E,2,FALSE))</f>
        <v>右前门内板分总成补焊</v>
      </c>
      <c r="C391" s="35"/>
      <c r="D391" s="35"/>
      <c r="E391" s="35"/>
      <c r="F391" s="64"/>
      <c r="G391" s="60"/>
      <c r="H391" s="38"/>
      <c r="I391" s="38"/>
      <c r="J391" s="38"/>
      <c r="K391" s="38"/>
      <c r="L391" s="2"/>
      <c r="M391" s="2"/>
    </row>
    <row r="392" spans="1:13">
      <c r="A392" s="55" t="s">
        <v>278</v>
      </c>
      <c r="B392" s="56" t="str">
        <f>IF(A392="","",VLOOKUP(A392,工位附件!D:E,2,FALSE))</f>
        <v>右前门内板总成</v>
      </c>
      <c r="C392" s="35" t="s">
        <v>931</v>
      </c>
      <c r="D392" s="35" t="s">
        <v>932</v>
      </c>
      <c r="E392" s="35">
        <v>1</v>
      </c>
      <c r="F392" s="60">
        <v>33</v>
      </c>
      <c r="G392" s="60" t="s">
        <v>813</v>
      </c>
      <c r="H392" s="52" t="s">
        <v>1390</v>
      </c>
      <c r="I392" s="38" t="s">
        <v>933</v>
      </c>
      <c r="J392" s="38" t="s">
        <v>1</v>
      </c>
      <c r="K392" s="38" t="s">
        <v>1</v>
      </c>
      <c r="L392" s="2" t="s">
        <v>2</v>
      </c>
      <c r="M392" s="2" t="s">
        <v>3</v>
      </c>
    </row>
    <row r="393" spans="1:13">
      <c r="A393" s="55" t="str">
        <f t="shared" ref="A393:A397" si="78">A392</f>
        <v>W1FD1-030R</v>
      </c>
      <c r="B393" s="56" t="str">
        <f>IF(A393="","",VLOOKUP(A393,工位附件!D:E,2,FALSE))</f>
        <v>右前门内板总成</v>
      </c>
      <c r="C393" s="35" t="s">
        <v>1343</v>
      </c>
      <c r="D393" s="35" t="s">
        <v>934</v>
      </c>
      <c r="E393" s="35">
        <v>1</v>
      </c>
      <c r="F393" s="60"/>
      <c r="G393" s="60"/>
      <c r="H393" s="52" t="s">
        <v>1391</v>
      </c>
      <c r="I393" s="38" t="s">
        <v>876</v>
      </c>
      <c r="J393" s="38" t="s">
        <v>1</v>
      </c>
      <c r="K393" s="38" t="s">
        <v>1</v>
      </c>
      <c r="L393" s="2" t="s">
        <v>2</v>
      </c>
      <c r="M393" s="2" t="s">
        <v>797</v>
      </c>
    </row>
    <row r="394" spans="1:13">
      <c r="A394" s="55" t="str">
        <f t="shared" si="78"/>
        <v>W1FD1-030R</v>
      </c>
      <c r="B394" s="56" t="str">
        <f>IF(A394="","",VLOOKUP(A394,工位附件!D:E,2,FALSE))</f>
        <v>右前门内板总成</v>
      </c>
      <c r="C394" s="35" t="s">
        <v>935</v>
      </c>
      <c r="D394" s="35" t="s">
        <v>936</v>
      </c>
      <c r="E394" s="35">
        <v>1</v>
      </c>
      <c r="F394" s="60"/>
      <c r="G394" s="60"/>
      <c r="H394" s="38"/>
      <c r="I394" s="38"/>
      <c r="J394" s="38"/>
      <c r="K394" s="38"/>
      <c r="L394" s="2"/>
      <c r="M394" s="2"/>
    </row>
    <row r="395" spans="1:13">
      <c r="A395" s="55" t="str">
        <f t="shared" si="78"/>
        <v>W1FD1-030R</v>
      </c>
      <c r="B395" s="56" t="str">
        <f>IF(A395="","",VLOOKUP(A395,工位附件!D:E,2,FALSE))</f>
        <v>右前门内板总成</v>
      </c>
      <c r="C395" s="35" t="s">
        <v>1344</v>
      </c>
      <c r="D395" s="35" t="s">
        <v>937</v>
      </c>
      <c r="E395" s="35">
        <v>1</v>
      </c>
      <c r="F395" s="60"/>
      <c r="G395" s="60"/>
      <c r="H395" s="38"/>
      <c r="I395" s="38"/>
      <c r="J395" s="38"/>
      <c r="K395" s="38"/>
      <c r="L395" s="2"/>
      <c r="M395" s="2"/>
    </row>
    <row r="396" spans="1:13">
      <c r="A396" s="55" t="str">
        <f t="shared" si="78"/>
        <v>W1FD1-030R</v>
      </c>
      <c r="B396" s="56" t="str">
        <f>IF(A396="","",VLOOKUP(A396,工位附件!D:E,2,FALSE))</f>
        <v>右前门内板总成</v>
      </c>
      <c r="C396" s="35"/>
      <c r="D396" s="35"/>
      <c r="E396" s="35"/>
      <c r="F396" s="60"/>
      <c r="G396" s="60"/>
      <c r="H396" s="38"/>
      <c r="I396" s="38"/>
      <c r="J396" s="38"/>
      <c r="K396" s="38"/>
      <c r="L396" s="2"/>
      <c r="M396" s="2"/>
    </row>
    <row r="397" spans="1:13">
      <c r="A397" s="55" t="str">
        <f t="shared" si="78"/>
        <v>W1FD1-030R</v>
      </c>
      <c r="B397" s="56" t="str">
        <f>IF(A397="","",VLOOKUP(A397,工位附件!D:E,2,FALSE))</f>
        <v>右前门内板总成</v>
      </c>
      <c r="C397" s="35"/>
      <c r="D397" s="35"/>
      <c r="E397" s="35"/>
      <c r="F397" s="60"/>
      <c r="G397" s="60"/>
      <c r="H397" s="38"/>
      <c r="I397" s="38"/>
      <c r="J397" s="38"/>
      <c r="K397" s="38"/>
      <c r="L397" s="2"/>
      <c r="M397" s="2"/>
    </row>
    <row r="398" spans="1:13">
      <c r="A398" s="55" t="s">
        <v>278</v>
      </c>
      <c r="B398" s="56" t="str">
        <f>IF(A398="","",VLOOKUP(A398,工位附件!D:E,2,FALSE))</f>
        <v>右前门内板总成</v>
      </c>
      <c r="C398" s="35" t="s">
        <v>931</v>
      </c>
      <c r="D398" s="35" t="s">
        <v>932</v>
      </c>
      <c r="E398" s="35">
        <v>1</v>
      </c>
      <c r="F398" s="60">
        <v>31</v>
      </c>
      <c r="G398" s="60" t="s">
        <v>813</v>
      </c>
      <c r="H398" s="52" t="s">
        <v>1390</v>
      </c>
      <c r="I398" s="38" t="s">
        <v>933</v>
      </c>
      <c r="J398" s="38" t="s">
        <v>1</v>
      </c>
      <c r="K398" s="38" t="s">
        <v>1</v>
      </c>
      <c r="L398" s="2" t="s">
        <v>2</v>
      </c>
      <c r="M398" s="2" t="s">
        <v>3</v>
      </c>
    </row>
    <row r="399" spans="1:13">
      <c r="A399" s="55" t="str">
        <f t="shared" ref="A399:A401" si="79">A398</f>
        <v>W1FD1-030R</v>
      </c>
      <c r="B399" s="56" t="str">
        <f>IF(A399="","",VLOOKUP(A399,工位附件!D:E,2,FALSE))</f>
        <v>右前门内板总成</v>
      </c>
      <c r="C399" s="35" t="s">
        <v>1345</v>
      </c>
      <c r="D399" s="35" t="s">
        <v>938</v>
      </c>
      <c r="E399" s="35">
        <v>1</v>
      </c>
      <c r="F399" s="60"/>
      <c r="G399" s="60"/>
      <c r="H399" s="52" t="s">
        <v>1391</v>
      </c>
      <c r="I399" s="38" t="s">
        <v>939</v>
      </c>
      <c r="J399" s="38" t="s">
        <v>1</v>
      </c>
      <c r="K399" s="38" t="s">
        <v>1</v>
      </c>
      <c r="L399" s="2" t="s">
        <v>2</v>
      </c>
      <c r="M399" s="2" t="s">
        <v>3</v>
      </c>
    </row>
    <row r="400" spans="1:13">
      <c r="A400" s="55" t="str">
        <f t="shared" si="79"/>
        <v>W1FD1-030R</v>
      </c>
      <c r="B400" s="56" t="str">
        <f>IF(A400="","",VLOOKUP(A400,工位附件!D:E,2,FALSE))</f>
        <v>右前门内板总成</v>
      </c>
      <c r="C400" s="35" t="s">
        <v>940</v>
      </c>
      <c r="D400" s="35" t="s">
        <v>941</v>
      </c>
      <c r="E400" s="35">
        <v>1</v>
      </c>
      <c r="F400" s="60"/>
      <c r="G400" s="60"/>
      <c r="H400" s="38"/>
      <c r="I400" s="38"/>
      <c r="J400" s="38"/>
      <c r="K400" s="38"/>
      <c r="L400" s="2"/>
      <c r="M400" s="2"/>
    </row>
    <row r="401" spans="1:13">
      <c r="A401" s="55" t="str">
        <f t="shared" si="79"/>
        <v>W1FD1-030R</v>
      </c>
      <c r="B401" s="56" t="str">
        <f>IF(A401="","",VLOOKUP(A401,工位附件!D:E,2,FALSE))</f>
        <v>右前门内板总成</v>
      </c>
      <c r="C401" s="35"/>
      <c r="D401" s="35"/>
      <c r="E401" s="35"/>
      <c r="F401" s="60"/>
      <c r="G401" s="60"/>
      <c r="H401" s="38"/>
      <c r="I401" s="38"/>
      <c r="J401" s="38"/>
      <c r="K401" s="38"/>
      <c r="L401" s="2"/>
      <c r="M401" s="2"/>
    </row>
    <row r="402" spans="1:13" ht="14.4" customHeight="1">
      <c r="A402" s="55" t="s">
        <v>304</v>
      </c>
      <c r="B402" s="56" t="str">
        <f>IF(A402="","",VLOOKUP(A402,工位附件!D:E,2,FALSE))</f>
        <v>右后门内板分总成点定</v>
      </c>
      <c r="C402" s="35" t="s">
        <v>942</v>
      </c>
      <c r="D402" s="35" t="s">
        <v>943</v>
      </c>
      <c r="E402" s="35">
        <v>1</v>
      </c>
      <c r="F402" s="60">
        <v>29</v>
      </c>
      <c r="G402" s="60" t="s">
        <v>813</v>
      </c>
      <c r="H402" s="52" t="s">
        <v>1392</v>
      </c>
      <c r="I402" s="38" t="s">
        <v>944</v>
      </c>
      <c r="J402" s="38" t="s">
        <v>1</v>
      </c>
      <c r="K402" s="38" t="s">
        <v>1</v>
      </c>
      <c r="L402" s="2" t="s">
        <v>2</v>
      </c>
      <c r="M402" s="2" t="s">
        <v>3</v>
      </c>
    </row>
    <row r="403" spans="1:13">
      <c r="A403" s="55" t="str">
        <f t="shared" ref="A403:A406" si="80">A402</f>
        <v>W1RD1-010R</v>
      </c>
      <c r="B403" s="56" t="str">
        <f>IF(A403="","",VLOOKUP(A403,工位附件!D:E,2,FALSE))</f>
        <v>右后门内板分总成点定</v>
      </c>
      <c r="C403" s="35" t="s">
        <v>945</v>
      </c>
      <c r="D403" s="35" t="s">
        <v>946</v>
      </c>
      <c r="E403" s="35">
        <v>1</v>
      </c>
      <c r="F403" s="60"/>
      <c r="G403" s="60"/>
      <c r="H403" s="52" t="s">
        <v>1393</v>
      </c>
      <c r="I403" s="38" t="s">
        <v>947</v>
      </c>
      <c r="J403" s="38" t="s">
        <v>1</v>
      </c>
      <c r="K403" s="38" t="s">
        <v>1</v>
      </c>
      <c r="L403" s="2" t="s">
        <v>2</v>
      </c>
      <c r="M403" s="2" t="s">
        <v>3</v>
      </c>
    </row>
    <row r="404" spans="1:13">
      <c r="A404" s="55" t="str">
        <f t="shared" si="80"/>
        <v>W1RD1-010R</v>
      </c>
      <c r="B404" s="56" t="str">
        <f>IF(A404="","",VLOOKUP(A404,工位附件!D:E,2,FALSE))</f>
        <v>右后门内板分总成点定</v>
      </c>
      <c r="C404" s="35" t="s">
        <v>948</v>
      </c>
      <c r="D404" s="35" t="s">
        <v>949</v>
      </c>
      <c r="E404" s="35">
        <v>1</v>
      </c>
      <c r="F404" s="60"/>
      <c r="G404" s="60"/>
      <c r="H404" s="52" t="s">
        <v>1394</v>
      </c>
      <c r="I404" s="38" t="s">
        <v>950</v>
      </c>
      <c r="J404" s="38" t="s">
        <v>1</v>
      </c>
      <c r="K404" s="38" t="s">
        <v>1</v>
      </c>
      <c r="L404" s="2" t="s">
        <v>2</v>
      </c>
      <c r="M404" s="2" t="s">
        <v>3</v>
      </c>
    </row>
    <row r="405" spans="1:13">
      <c r="A405" s="55" t="str">
        <f t="shared" si="80"/>
        <v>W1RD1-010R</v>
      </c>
      <c r="B405" s="56" t="str">
        <f>IF(A405="","",VLOOKUP(A405,工位附件!D:E,2,FALSE))</f>
        <v>右后门内板分总成点定</v>
      </c>
      <c r="C405" s="35" t="s">
        <v>951</v>
      </c>
      <c r="D405" s="35" t="s">
        <v>952</v>
      </c>
      <c r="E405" s="35">
        <v>1</v>
      </c>
      <c r="F405" s="60"/>
      <c r="G405" s="60"/>
      <c r="H405" s="38"/>
      <c r="I405" s="38"/>
      <c r="J405" s="38"/>
      <c r="K405" s="38"/>
      <c r="L405" s="2"/>
      <c r="M405" s="2"/>
    </row>
    <row r="406" spans="1:13">
      <c r="A406" s="55" t="str">
        <f t="shared" si="80"/>
        <v>W1RD1-010R</v>
      </c>
      <c r="B406" s="56" t="str">
        <f>IF(A406="","",VLOOKUP(A406,工位附件!D:E,2,FALSE))</f>
        <v>右后门内板分总成点定</v>
      </c>
      <c r="C406" s="35" t="s">
        <v>953</v>
      </c>
      <c r="D406" s="35" t="s">
        <v>954</v>
      </c>
      <c r="E406" s="35">
        <v>2</v>
      </c>
      <c r="F406" s="60"/>
      <c r="G406" s="60"/>
      <c r="H406" s="38"/>
      <c r="I406" s="38"/>
      <c r="J406" s="38"/>
      <c r="K406" s="38"/>
      <c r="L406" s="2"/>
      <c r="M406" s="2"/>
    </row>
    <row r="407" spans="1:13" ht="14.4" customHeight="1">
      <c r="A407" s="55" t="s">
        <v>306</v>
      </c>
      <c r="B407" s="56" t="str">
        <f>IF(A407="","",VLOOKUP(A407,工位附件!D:E,2,FALSE))</f>
        <v>右后门内板分总成补焊</v>
      </c>
      <c r="C407" s="35" t="s">
        <v>955</v>
      </c>
      <c r="D407" s="35" t="s">
        <v>956</v>
      </c>
      <c r="E407" s="35">
        <v>1</v>
      </c>
      <c r="F407" s="60">
        <v>41</v>
      </c>
      <c r="G407" s="60" t="s">
        <v>813</v>
      </c>
      <c r="H407" s="52" t="s">
        <v>1395</v>
      </c>
      <c r="I407" s="38" t="s">
        <v>957</v>
      </c>
      <c r="J407" s="38" t="s">
        <v>1</v>
      </c>
      <c r="K407" s="38" t="s">
        <v>1</v>
      </c>
      <c r="L407" s="2" t="s">
        <v>2</v>
      </c>
      <c r="M407" s="2" t="s">
        <v>3</v>
      </c>
    </row>
    <row r="408" spans="1:13">
      <c r="A408" s="55" t="str">
        <f t="shared" ref="A408:A410" si="81">A407</f>
        <v>W1RD1-015R</v>
      </c>
      <c r="B408" s="56" t="str">
        <f>IF(A408="","",VLOOKUP(A408,工位附件!D:E,2,FALSE))</f>
        <v>右后门内板分总成补焊</v>
      </c>
      <c r="C408" s="35"/>
      <c r="D408" s="35"/>
      <c r="E408" s="35"/>
      <c r="F408" s="60"/>
      <c r="G408" s="60"/>
      <c r="H408" s="52" t="s">
        <v>1396</v>
      </c>
      <c r="I408" s="38" t="s">
        <v>958</v>
      </c>
      <c r="J408" s="38" t="s">
        <v>1</v>
      </c>
      <c r="K408" s="38" t="s">
        <v>1</v>
      </c>
      <c r="L408" s="2" t="s">
        <v>2</v>
      </c>
      <c r="M408" s="2" t="s">
        <v>3</v>
      </c>
    </row>
    <row r="409" spans="1:13">
      <c r="A409" s="55" t="str">
        <f t="shared" si="81"/>
        <v>W1RD1-015R</v>
      </c>
      <c r="B409" s="56" t="str">
        <f>IF(A409="","",VLOOKUP(A409,工位附件!D:E,2,FALSE))</f>
        <v>右后门内板分总成补焊</v>
      </c>
      <c r="C409" s="35"/>
      <c r="D409" s="35"/>
      <c r="E409" s="35"/>
      <c r="F409" s="60"/>
      <c r="G409" s="60"/>
      <c r="H409" s="52" t="s">
        <v>1397</v>
      </c>
      <c r="I409" s="38" t="s">
        <v>959</v>
      </c>
      <c r="J409" s="38" t="s">
        <v>1338</v>
      </c>
      <c r="K409" s="38" t="s">
        <v>1338</v>
      </c>
      <c r="L409" s="2" t="s">
        <v>2</v>
      </c>
      <c r="M409" s="2" t="s">
        <v>3</v>
      </c>
    </row>
    <row r="410" spans="1:13">
      <c r="A410" s="55" t="str">
        <f t="shared" si="81"/>
        <v>W1RD1-015R</v>
      </c>
      <c r="B410" s="56" t="str">
        <f>IF(A410="","",VLOOKUP(A410,工位附件!D:E,2,FALSE))</f>
        <v>右后门内板分总成补焊</v>
      </c>
      <c r="C410" s="35"/>
      <c r="D410" s="35"/>
      <c r="E410" s="35"/>
      <c r="F410" s="60"/>
      <c r="G410" s="60"/>
      <c r="H410" s="38"/>
      <c r="I410" s="38"/>
      <c r="J410" s="38"/>
      <c r="K410" s="38"/>
      <c r="L410" s="2" t="s">
        <v>2</v>
      </c>
      <c r="M410" s="2" t="s">
        <v>3</v>
      </c>
    </row>
    <row r="411" spans="1:13">
      <c r="A411" s="55" t="s">
        <v>308</v>
      </c>
      <c r="B411" s="56" t="str">
        <f>IF(A411="","",VLOOKUP(A411,工位附件!D:E,2,FALSE))</f>
        <v>右后门内板总成</v>
      </c>
      <c r="C411" s="35" t="s">
        <v>1347</v>
      </c>
      <c r="D411" s="35" t="s">
        <v>960</v>
      </c>
      <c r="E411" s="35">
        <v>1</v>
      </c>
      <c r="F411" s="60">
        <v>29</v>
      </c>
      <c r="G411" s="60" t="s">
        <v>813</v>
      </c>
      <c r="H411" s="52" t="s">
        <v>1398</v>
      </c>
      <c r="I411" s="38" t="s">
        <v>961</v>
      </c>
      <c r="J411" s="38" t="s">
        <v>1</v>
      </c>
      <c r="K411" s="38" t="s">
        <v>1</v>
      </c>
      <c r="L411" s="2" t="s">
        <v>2</v>
      </c>
      <c r="M411" s="2" t="s">
        <v>3</v>
      </c>
    </row>
    <row r="412" spans="1:13">
      <c r="A412" s="55" t="str">
        <f t="shared" ref="A412:A414" si="82">A411</f>
        <v>W1RD1-020R</v>
      </c>
      <c r="B412" s="56" t="str">
        <f>IF(A412="","",VLOOKUP(A412,工位附件!D:E,2,FALSE))</f>
        <v>右后门内板总成</v>
      </c>
      <c r="C412" s="35" t="s">
        <v>1346</v>
      </c>
      <c r="D412" s="35" t="s">
        <v>956</v>
      </c>
      <c r="E412" s="35">
        <v>1</v>
      </c>
      <c r="F412" s="60"/>
      <c r="G412" s="60"/>
      <c r="H412" s="52" t="s">
        <v>1399</v>
      </c>
      <c r="I412" s="38" t="s">
        <v>962</v>
      </c>
      <c r="J412" s="38" t="s">
        <v>1</v>
      </c>
      <c r="K412" s="38" t="s">
        <v>1</v>
      </c>
      <c r="L412" s="2" t="s">
        <v>2</v>
      </c>
      <c r="M412" s="2" t="s">
        <v>3</v>
      </c>
    </row>
    <row r="413" spans="1:13">
      <c r="A413" s="55" t="str">
        <f t="shared" si="82"/>
        <v>W1RD1-020R</v>
      </c>
      <c r="B413" s="56" t="str">
        <f>IF(A413="","",VLOOKUP(A413,工位附件!D:E,2,FALSE))</f>
        <v>右后门内板总成</v>
      </c>
      <c r="C413" s="35" t="s">
        <v>1348</v>
      </c>
      <c r="D413" s="35" t="s">
        <v>963</v>
      </c>
      <c r="E413" s="35">
        <v>1</v>
      </c>
      <c r="F413" s="60"/>
      <c r="G413" s="60"/>
      <c r="H413" s="38"/>
      <c r="I413" s="38"/>
      <c r="J413" s="38"/>
      <c r="K413" s="38"/>
      <c r="L413" s="2"/>
      <c r="M413" s="2"/>
    </row>
    <row r="414" spans="1:13">
      <c r="A414" s="55" t="str">
        <f t="shared" si="82"/>
        <v>W1RD1-020R</v>
      </c>
      <c r="B414" s="56" t="str">
        <f>IF(A414="","",VLOOKUP(A414,工位附件!D:E,2,FALSE))</f>
        <v>右后门内板总成</v>
      </c>
      <c r="C414" s="35" t="s">
        <v>964</v>
      </c>
      <c r="D414" s="35" t="s">
        <v>965</v>
      </c>
      <c r="E414" s="35">
        <v>1</v>
      </c>
      <c r="F414" s="60"/>
      <c r="G414" s="60"/>
      <c r="H414" s="38"/>
      <c r="I414" s="38"/>
      <c r="J414" s="38"/>
      <c r="K414" s="38"/>
      <c r="L414" s="2"/>
      <c r="M414" s="2"/>
    </row>
    <row r="415" spans="1:13">
      <c r="A415" s="55" t="s">
        <v>308</v>
      </c>
      <c r="B415" s="56" t="str">
        <f>IF(A415="","",VLOOKUP(A415,工位附件!D:E,2,FALSE))</f>
        <v>右后门内板总成</v>
      </c>
      <c r="C415" s="35" t="s">
        <v>1349</v>
      </c>
      <c r="D415" s="35" t="s">
        <v>966</v>
      </c>
      <c r="E415" s="35">
        <v>1</v>
      </c>
      <c r="F415" s="64">
        <v>29</v>
      </c>
      <c r="G415" s="60" t="s">
        <v>813</v>
      </c>
      <c r="H415" s="52" t="s">
        <v>1400</v>
      </c>
      <c r="I415" s="38" t="s">
        <v>961</v>
      </c>
      <c r="J415" s="38" t="s">
        <v>1</v>
      </c>
      <c r="K415" s="38" t="s">
        <v>1</v>
      </c>
      <c r="L415" s="2" t="s">
        <v>2</v>
      </c>
      <c r="M415" s="2" t="s">
        <v>3</v>
      </c>
    </row>
    <row r="416" spans="1:13">
      <c r="A416" s="55" t="str">
        <f t="shared" ref="A416:A418" si="83">A415</f>
        <v>W1RD1-020R</v>
      </c>
      <c r="B416" s="56" t="str">
        <f>IF(A416="","",VLOOKUP(A416,工位附件!D:E,2,FALSE))</f>
        <v>右后门内板总成</v>
      </c>
      <c r="C416" s="35" t="s">
        <v>1350</v>
      </c>
      <c r="D416" s="35" t="s">
        <v>967</v>
      </c>
      <c r="E416" s="35">
        <v>1</v>
      </c>
      <c r="F416" s="64"/>
      <c r="G416" s="60"/>
      <c r="H416" s="52" t="s">
        <v>1401</v>
      </c>
      <c r="I416" s="38" t="s">
        <v>962</v>
      </c>
      <c r="J416" s="38" t="s">
        <v>1</v>
      </c>
      <c r="K416" s="38" t="s">
        <v>1</v>
      </c>
      <c r="L416" s="2" t="s">
        <v>2</v>
      </c>
      <c r="M416" s="2" t="s">
        <v>3</v>
      </c>
    </row>
    <row r="417" spans="1:13">
      <c r="A417" s="55" t="str">
        <f t="shared" si="83"/>
        <v>W1RD1-020R</v>
      </c>
      <c r="B417" s="56" t="str">
        <f>IF(A417="","",VLOOKUP(A417,工位附件!D:E,2,FALSE))</f>
        <v>右后门内板总成</v>
      </c>
      <c r="C417" s="35" t="s">
        <v>964</v>
      </c>
      <c r="D417" s="35" t="s">
        <v>965</v>
      </c>
      <c r="E417" s="35">
        <v>1</v>
      </c>
      <c r="F417" s="64"/>
      <c r="G417" s="60"/>
      <c r="H417" s="38"/>
      <c r="I417" s="38"/>
      <c r="J417" s="38"/>
      <c r="K417" s="38"/>
      <c r="L417" s="2"/>
      <c r="M417" s="2"/>
    </row>
    <row r="418" spans="1:13">
      <c r="A418" s="55" t="str">
        <f t="shared" si="83"/>
        <v>W1RD1-020R</v>
      </c>
      <c r="B418" s="56" t="str">
        <f>IF(A418="","",VLOOKUP(A418,工位附件!D:E,2,FALSE))</f>
        <v>右后门内板总成</v>
      </c>
      <c r="C418" s="35"/>
      <c r="D418" s="35"/>
      <c r="E418" s="35"/>
      <c r="F418" s="64"/>
      <c r="G418" s="60"/>
      <c r="H418" s="38"/>
      <c r="I418" s="38"/>
      <c r="J418" s="38"/>
      <c r="K418" s="38"/>
      <c r="L418" s="2"/>
      <c r="M418" s="2"/>
    </row>
    <row r="419" spans="1:13">
      <c r="A419" s="55" t="s">
        <v>313</v>
      </c>
      <c r="B419" s="56" t="str">
        <f>IF(A419="","",VLOOKUP(A419,工位附件!D:E,2,FALSE))</f>
        <v>左后门补焊</v>
      </c>
      <c r="C419" s="35" t="s">
        <v>968</v>
      </c>
      <c r="D419" s="35" t="s">
        <v>969</v>
      </c>
      <c r="E419" s="35">
        <v>1</v>
      </c>
      <c r="F419" s="60">
        <v>1</v>
      </c>
      <c r="G419" s="60" t="s">
        <v>813</v>
      </c>
      <c r="H419" s="38" t="s">
        <v>1351</v>
      </c>
      <c r="I419" s="38" t="s">
        <v>970</v>
      </c>
      <c r="J419" s="38" t="s">
        <v>1</v>
      </c>
      <c r="K419" s="38" t="s">
        <v>795</v>
      </c>
      <c r="L419" s="2" t="s">
        <v>794</v>
      </c>
      <c r="M419" s="2" t="s">
        <v>3</v>
      </c>
    </row>
    <row r="420" spans="1:13">
      <c r="A420" s="55" t="str">
        <f t="shared" ref="A420:A421" si="84">A419</f>
        <v>W1RD2-050R</v>
      </c>
      <c r="B420" s="56" t="str">
        <f>IF(A420="","",VLOOKUP(A420,工位附件!D:E,2,FALSE))</f>
        <v>左后门补焊</v>
      </c>
      <c r="C420" s="35" t="s">
        <v>971</v>
      </c>
      <c r="D420" s="35" t="s">
        <v>972</v>
      </c>
      <c r="E420" s="35">
        <v>1</v>
      </c>
      <c r="F420" s="60"/>
      <c r="G420" s="60"/>
      <c r="H420" s="38"/>
      <c r="I420" s="38"/>
      <c r="J420" s="38"/>
      <c r="K420" s="38"/>
      <c r="L420" s="2"/>
      <c r="M420" s="2"/>
    </row>
    <row r="421" spans="1:13">
      <c r="A421" s="55" t="str">
        <f t="shared" si="84"/>
        <v>W1RD2-050R</v>
      </c>
      <c r="B421" s="56" t="str">
        <f>IF(A421="","",VLOOKUP(A421,工位附件!D:E,2,FALSE))</f>
        <v>左后门补焊</v>
      </c>
      <c r="C421" s="35"/>
      <c r="D421" s="35"/>
      <c r="E421" s="35"/>
      <c r="F421" s="60"/>
      <c r="G421" s="60"/>
      <c r="H421" s="38"/>
      <c r="I421" s="38"/>
      <c r="J421" s="38"/>
      <c r="K421" s="38"/>
      <c r="L421" s="2"/>
      <c r="M421" s="2"/>
    </row>
  </sheetData>
  <autoFilter ref="A1:P421"/>
  <mergeCells count="233">
    <mergeCell ref="F17:F18"/>
    <mergeCell ref="G17:G18"/>
    <mergeCell ref="F124:F126"/>
    <mergeCell ref="F129:F130"/>
    <mergeCell ref="F133:F136"/>
    <mergeCell ref="F139:F140"/>
    <mergeCell ref="G25:G29"/>
    <mergeCell ref="G30:G35"/>
    <mergeCell ref="G19:G24"/>
    <mergeCell ref="F19:F24"/>
    <mergeCell ref="F25:F29"/>
    <mergeCell ref="G55:G57"/>
    <mergeCell ref="F58:F59"/>
    <mergeCell ref="G58:G59"/>
    <mergeCell ref="F55:F57"/>
    <mergeCell ref="F30:F35"/>
    <mergeCell ref="G44:G48"/>
    <mergeCell ref="G49:G54"/>
    <mergeCell ref="G36:G39"/>
    <mergeCell ref="G40:G43"/>
    <mergeCell ref="F36:F39"/>
    <mergeCell ref="F40:F43"/>
    <mergeCell ref="F44:F48"/>
    <mergeCell ref="F49:F54"/>
    <mergeCell ref="G10:G11"/>
    <mergeCell ref="G153:G156"/>
    <mergeCell ref="G139:G140"/>
    <mergeCell ref="G141:G144"/>
    <mergeCell ref="G145:G148"/>
    <mergeCell ref="G12:G16"/>
    <mergeCell ref="G2:G4"/>
    <mergeCell ref="G5:G6"/>
    <mergeCell ref="F2:F4"/>
    <mergeCell ref="F5:F6"/>
    <mergeCell ref="F7:F9"/>
    <mergeCell ref="F10:F11"/>
    <mergeCell ref="F12:F16"/>
    <mergeCell ref="G7:G9"/>
    <mergeCell ref="F141:F144"/>
    <mergeCell ref="F145:F148"/>
    <mergeCell ref="F149:F152"/>
    <mergeCell ref="F153:F156"/>
    <mergeCell ref="G62:G63"/>
    <mergeCell ref="F62:F63"/>
    <mergeCell ref="F64:F66"/>
    <mergeCell ref="F69:F70"/>
    <mergeCell ref="F73:F78"/>
    <mergeCell ref="F79:F82"/>
    <mergeCell ref="F71:F72"/>
    <mergeCell ref="G71:G72"/>
    <mergeCell ref="F83:F84"/>
    <mergeCell ref="G79:G82"/>
    <mergeCell ref="G69:G70"/>
    <mergeCell ref="G60:G61"/>
    <mergeCell ref="F60:F61"/>
    <mergeCell ref="G64:G66"/>
    <mergeCell ref="F67:F68"/>
    <mergeCell ref="G67:G68"/>
    <mergeCell ref="G73:G78"/>
    <mergeCell ref="G83:G84"/>
    <mergeCell ref="G85:G86"/>
    <mergeCell ref="G87:G90"/>
    <mergeCell ref="F91:F92"/>
    <mergeCell ref="G91:G92"/>
    <mergeCell ref="F85:F86"/>
    <mergeCell ref="F87:F90"/>
    <mergeCell ref="F93:F94"/>
    <mergeCell ref="F97:F100"/>
    <mergeCell ref="G117:G118"/>
    <mergeCell ref="F101:F103"/>
    <mergeCell ref="G97:G100"/>
    <mergeCell ref="G93:G94"/>
    <mergeCell ref="F95:F96"/>
    <mergeCell ref="G95:G96"/>
    <mergeCell ref="G101:G103"/>
    <mergeCell ref="G119:G121"/>
    <mergeCell ref="F119:F121"/>
    <mergeCell ref="G157:G160"/>
    <mergeCell ref="G133:G136"/>
    <mergeCell ref="F137:F138"/>
    <mergeCell ref="G137:G138"/>
    <mergeCell ref="G149:G152"/>
    <mergeCell ref="G104:G105"/>
    <mergeCell ref="G124:G126"/>
    <mergeCell ref="G106:G112"/>
    <mergeCell ref="F104:F105"/>
    <mergeCell ref="F106:F112"/>
    <mergeCell ref="F113:F116"/>
    <mergeCell ref="F117:F118"/>
    <mergeCell ref="G113:G116"/>
    <mergeCell ref="F131:F132"/>
    <mergeCell ref="G131:G132"/>
    <mergeCell ref="G129:G130"/>
    <mergeCell ref="F157:F160"/>
    <mergeCell ref="F127:F128"/>
    <mergeCell ref="G127:G128"/>
    <mergeCell ref="F122:F123"/>
    <mergeCell ref="G122:G123"/>
    <mergeCell ref="F179:F180"/>
    <mergeCell ref="G179:G180"/>
    <mergeCell ref="F181:F182"/>
    <mergeCell ref="G181:G182"/>
    <mergeCell ref="F172:F176"/>
    <mergeCell ref="G172:G176"/>
    <mergeCell ref="F177:F178"/>
    <mergeCell ref="G177:G178"/>
    <mergeCell ref="F161:F164"/>
    <mergeCell ref="G161:G164"/>
    <mergeCell ref="F165:F171"/>
    <mergeCell ref="G165:G171"/>
    <mergeCell ref="F194:F196"/>
    <mergeCell ref="G194:G196"/>
    <mergeCell ref="F197:F200"/>
    <mergeCell ref="G197:G200"/>
    <mergeCell ref="F188:F190"/>
    <mergeCell ref="G188:G190"/>
    <mergeCell ref="F191:F193"/>
    <mergeCell ref="G191:G193"/>
    <mergeCell ref="F183:F185"/>
    <mergeCell ref="G183:G185"/>
    <mergeCell ref="F186:F187"/>
    <mergeCell ref="G186:G187"/>
    <mergeCell ref="F214:F215"/>
    <mergeCell ref="G214:G215"/>
    <mergeCell ref="F216:F218"/>
    <mergeCell ref="G216:G218"/>
    <mergeCell ref="F210:F211"/>
    <mergeCell ref="G210:G211"/>
    <mergeCell ref="F212:F213"/>
    <mergeCell ref="G212:G213"/>
    <mergeCell ref="F201:F204"/>
    <mergeCell ref="G201:G204"/>
    <mergeCell ref="F205:F209"/>
    <mergeCell ref="G205:G209"/>
    <mergeCell ref="F230:F232"/>
    <mergeCell ref="G230:G232"/>
    <mergeCell ref="F233:F235"/>
    <mergeCell ref="G233:G235"/>
    <mergeCell ref="F224:F226"/>
    <mergeCell ref="G224:G226"/>
    <mergeCell ref="F227:F229"/>
    <mergeCell ref="G227:G229"/>
    <mergeCell ref="F219:F220"/>
    <mergeCell ref="G219:G220"/>
    <mergeCell ref="F221:F223"/>
    <mergeCell ref="G221:G223"/>
    <mergeCell ref="F249:F252"/>
    <mergeCell ref="G249:G252"/>
    <mergeCell ref="F253:F255"/>
    <mergeCell ref="G253:G255"/>
    <mergeCell ref="F243:F245"/>
    <mergeCell ref="G243:G245"/>
    <mergeCell ref="F246:F248"/>
    <mergeCell ref="G246:G248"/>
    <mergeCell ref="F236:F239"/>
    <mergeCell ref="G236:G239"/>
    <mergeCell ref="F240:F242"/>
    <mergeCell ref="G240:G242"/>
    <mergeCell ref="F281:F286"/>
    <mergeCell ref="G281:G286"/>
    <mergeCell ref="F287:F290"/>
    <mergeCell ref="G287:G290"/>
    <mergeCell ref="F273:F276"/>
    <mergeCell ref="G273:G276"/>
    <mergeCell ref="F277:F280"/>
    <mergeCell ref="G277:G280"/>
    <mergeCell ref="F256:F262"/>
    <mergeCell ref="G256:G262"/>
    <mergeCell ref="F263:F272"/>
    <mergeCell ref="G263:G272"/>
    <mergeCell ref="F307:F310"/>
    <mergeCell ref="G307:G310"/>
    <mergeCell ref="F299:F302"/>
    <mergeCell ref="G299:G302"/>
    <mergeCell ref="G303:G306"/>
    <mergeCell ref="F303:F304"/>
    <mergeCell ref="F305:F306"/>
    <mergeCell ref="F291:F294"/>
    <mergeCell ref="G291:G294"/>
    <mergeCell ref="F295:F298"/>
    <mergeCell ref="G295:G298"/>
    <mergeCell ref="G333:G335"/>
    <mergeCell ref="F333:F335"/>
    <mergeCell ref="F419:F421"/>
    <mergeCell ref="G419:G421"/>
    <mergeCell ref="F411:F414"/>
    <mergeCell ref="G411:G414"/>
    <mergeCell ref="F415:F418"/>
    <mergeCell ref="G415:G418"/>
    <mergeCell ref="F402:F406"/>
    <mergeCell ref="F380:F382"/>
    <mergeCell ref="G380:G382"/>
    <mergeCell ref="F383:F387"/>
    <mergeCell ref="G383:G387"/>
    <mergeCell ref="F388:F391"/>
    <mergeCell ref="G388:G391"/>
    <mergeCell ref="G402:G406"/>
    <mergeCell ref="F407:F410"/>
    <mergeCell ref="G407:G410"/>
    <mergeCell ref="F392:F397"/>
    <mergeCell ref="G392:G397"/>
    <mergeCell ref="F398:F401"/>
    <mergeCell ref="G398:G401"/>
    <mergeCell ref="F356:F359"/>
    <mergeCell ref="G356:G359"/>
    <mergeCell ref="F360:F365"/>
    <mergeCell ref="G360:G365"/>
    <mergeCell ref="F366:F369"/>
    <mergeCell ref="G366:G369"/>
    <mergeCell ref="F370:F374"/>
    <mergeCell ref="G370:G374"/>
    <mergeCell ref="F375:F379"/>
    <mergeCell ref="G375:G379"/>
    <mergeCell ref="F336:F338"/>
    <mergeCell ref="G336:G338"/>
    <mergeCell ref="F339:F342"/>
    <mergeCell ref="G339:G342"/>
    <mergeCell ref="F343:F347"/>
    <mergeCell ref="G343:G347"/>
    <mergeCell ref="F348:F350"/>
    <mergeCell ref="G348:G350"/>
    <mergeCell ref="F351:F355"/>
    <mergeCell ref="G351:G355"/>
    <mergeCell ref="G320:G325"/>
    <mergeCell ref="G317:G319"/>
    <mergeCell ref="F317:F319"/>
    <mergeCell ref="F326:F329"/>
    <mergeCell ref="G326:G329"/>
    <mergeCell ref="F311:F316"/>
    <mergeCell ref="G311:G316"/>
    <mergeCell ref="F320:F325"/>
    <mergeCell ref="F331:F332"/>
    <mergeCell ref="G331:G332"/>
  </mergeCells>
  <phoneticPr fontId="1" type="noConversion"/>
  <dataValidations count="4">
    <dataValidation type="list" allowBlank="1" showInputMessage="1" showErrorMessage="1" sqref="A25 A172 A179 A339 A326 A291 A210 A419 A415 A411 A407 A402 A398 A392 A388 A383 A380 A375 A370 A366 A360 A356 A351 A348 A343 A336 A333 A330:A331 A320 A317 A311 A307 A303 A299 A295 A287 A281 A277 A273 A263 A256 A253 A249 A246 A243 A240 A236 A233 A230 A227 A224 A221 A219 A216 A214 A212 A205 A201 A197 A194 A191 A188 A186 A183 A181 A177 A165 A161 A157 A153 A149 A145 A141 A139 A137 A133 A131 A129 A127 A124 A122 A119 A117 A113 A106 A104 A101 A97 A95 A93 A91 A87 A85 A83 A79 A73 A71 A69 A67 A64 A62 A60 A58 A55 A49 A44 A40 A36 A30 A19 A17 A12 A10 A7 A2 A5">
      <formula1>INDIRECT(#REF!)</formula1>
    </dataValidation>
    <dataValidation type="list" allowBlank="1" showInputMessage="1" showErrorMessage="1" sqref="J245:J421 J2:J242">
      <formula1>"小原,浙南,尼玛克"</formula1>
    </dataValidation>
    <dataValidation type="list" allowBlank="1" showInputMessage="1" showErrorMessage="1" sqref="K2:K421">
      <formula1>"小原,商科,博世,尼玛克"</formula1>
    </dataValidation>
    <dataValidation type="list" allowBlank="1" showInputMessage="1" showErrorMessage="1" sqref="L2:L421">
      <formula1>"φ16mm,φ13mm"</formula1>
    </dataValidation>
  </dataValidations>
  <pageMargins left="0.43307086614173229" right="0.43307086614173229" top="0.74803149606299213" bottom="0.74803149606299213" header="0.31496062992125984" footer="0.31496062992125984"/>
  <pageSetup paperSize="9" scale="36" fitToHeight="0"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工位附件!$D:$D</xm:f>
          </x14:formula1>
          <xm:sqref>A3:A4 A6 A8:A9 A11 A13:A16 A18 A20:A24 A26:A29 A31:A35 A37:A39 A41:A43 A45:A48 A50:A54 A56:A57 A59 A61 A63 A65:A66 A68 A70 A72 A74:A78 A80:A82 A84 A86 A88:A90 A92 A94 A96 A98:A100 A102:A103 A105 A107:A112 A114:A116 A118 A120:A121 A123 A125:A126 A128 A130 A132 A134:A136 A138 A140 A142:A144 A146:A148 A150:A152 A154:A156 A158:A160 A162:A164 A166:A171 A173:A176 A178 A180 A182 A184:A185 A187 A189:A190 A192:A193 A195:A196 A198:A200 A202:A204 A206:A209 A211 A213 A215 A217:A218 A220 A222:A223 A225:A226 A228:A229 A231:A232 A234:A235 A237:A239 A241:A242 A244:A245 A247:A248 A250:A252 A254:A255 A257:A262 A264:A272 A274:A276 A278:A280 A282:A286 A288:A290 A292:A294 A296:A298 A300:A302 A304:A306 A308:A310 A312:A316 A318:A319 A321:A325 A327:A329 A332 A334:A335 A337:A338 A340:A342 A344:A347 A349:A350 A352:A355 A357:A359 A361:A365 A367:A369 A371:A374 A376:A379 A381:A382 A384:A387 A389:A391 A393:A397 A399:A401 A403:A406 A408:A410 A412:A414 A416:A418 A420:A450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1:E184"/>
  <sheetViews>
    <sheetView zoomScale="85" zoomScaleNormal="85" workbookViewId="0">
      <pane xSplit="5" ySplit="2" topLeftCell="F177" activePane="bottomRight" state="frozen"/>
      <selection pane="topRight" activeCell="E1" sqref="E1"/>
      <selection pane="bottomLeft" activeCell="A5" sqref="A5"/>
      <selection pane="bottomRight" activeCell="M15" sqref="M15"/>
    </sheetView>
  </sheetViews>
  <sheetFormatPr defaultColWidth="9" defaultRowHeight="15.6"/>
  <cols>
    <col min="1" max="1" width="3.77734375" style="5" customWidth="1"/>
    <col min="2" max="2" width="25.21875" style="5" customWidth="1"/>
    <col min="3" max="3" width="22.77734375" style="29" customWidth="1"/>
    <col min="4" max="4" width="28.88671875" style="29" customWidth="1"/>
    <col min="5" max="5" width="20.88671875" style="29" customWidth="1"/>
    <col min="6" max="16384" width="9" style="5"/>
  </cols>
  <sheetData>
    <row r="1" spans="2:5">
      <c r="C1" s="5"/>
      <c r="D1" s="5"/>
      <c r="E1" s="5"/>
    </row>
    <row r="2" spans="2:5">
      <c r="C2" s="6" t="s">
        <v>5</v>
      </c>
      <c r="D2" s="7" t="s">
        <v>6</v>
      </c>
      <c r="E2" s="8" t="s">
        <v>7</v>
      </c>
    </row>
    <row r="3" spans="2:5">
      <c r="C3" s="9" t="s">
        <v>8</v>
      </c>
      <c r="D3" s="10" t="s">
        <v>9</v>
      </c>
      <c r="E3" s="11" t="s">
        <v>10</v>
      </c>
    </row>
    <row r="4" spans="2:5">
      <c r="B4" s="9" t="s">
        <v>8</v>
      </c>
      <c r="C4" s="9" t="s">
        <v>8</v>
      </c>
      <c r="D4" s="10" t="s">
        <v>11</v>
      </c>
      <c r="E4" s="11" t="s">
        <v>12</v>
      </c>
    </row>
    <row r="5" spans="2:5">
      <c r="B5" s="12" t="s">
        <v>23</v>
      </c>
      <c r="C5" s="9" t="s">
        <v>8</v>
      </c>
      <c r="D5" s="10" t="s">
        <v>13</v>
      </c>
      <c r="E5" s="11" t="s">
        <v>14</v>
      </c>
    </row>
    <row r="6" spans="2:5">
      <c r="B6" s="12" t="s">
        <v>40</v>
      </c>
      <c r="C6" s="9" t="s">
        <v>8</v>
      </c>
      <c r="D6" s="10" t="s">
        <v>15</v>
      </c>
      <c r="E6" s="11" t="s">
        <v>16</v>
      </c>
    </row>
    <row r="7" spans="2:5">
      <c r="B7" s="12" t="s">
        <v>69</v>
      </c>
      <c r="C7" s="9" t="s">
        <v>8</v>
      </c>
      <c r="D7" s="10" t="s">
        <v>17</v>
      </c>
      <c r="E7" s="11" t="s">
        <v>18</v>
      </c>
    </row>
    <row r="8" spans="2:5">
      <c r="B8" s="12" t="s">
        <v>86</v>
      </c>
      <c r="C8" s="9" t="s">
        <v>8</v>
      </c>
      <c r="D8" s="10" t="s">
        <v>19</v>
      </c>
      <c r="E8" s="11" t="s">
        <v>20</v>
      </c>
    </row>
    <row r="9" spans="2:5">
      <c r="B9" s="12" t="s">
        <v>106</v>
      </c>
      <c r="C9" s="9" t="s">
        <v>8</v>
      </c>
      <c r="D9" s="10" t="s">
        <v>21</v>
      </c>
      <c r="E9" s="11" t="s">
        <v>22</v>
      </c>
    </row>
    <row r="10" spans="2:5">
      <c r="B10" s="9" t="s">
        <v>126</v>
      </c>
      <c r="C10" s="12" t="s">
        <v>23</v>
      </c>
      <c r="D10" s="10" t="s">
        <v>24</v>
      </c>
      <c r="E10" s="11" t="s">
        <v>25</v>
      </c>
    </row>
    <row r="11" spans="2:5">
      <c r="B11" s="9" t="s">
        <v>145</v>
      </c>
      <c r="C11" s="12" t="s">
        <v>23</v>
      </c>
      <c r="D11" s="10" t="s">
        <v>26</v>
      </c>
      <c r="E11" s="11" t="s">
        <v>27</v>
      </c>
    </row>
    <row r="12" spans="2:5">
      <c r="B12" s="12" t="s">
        <v>159</v>
      </c>
      <c r="C12" s="12" t="s">
        <v>23</v>
      </c>
      <c r="D12" s="10" t="s">
        <v>28</v>
      </c>
      <c r="E12" s="11" t="s">
        <v>29</v>
      </c>
    </row>
    <row r="13" spans="2:5">
      <c r="B13" s="12" t="s">
        <v>173</v>
      </c>
      <c r="C13" s="12" t="s">
        <v>23</v>
      </c>
      <c r="D13" s="10" t="s">
        <v>30</v>
      </c>
      <c r="E13" s="11" t="s">
        <v>31</v>
      </c>
    </row>
    <row r="14" spans="2:5">
      <c r="B14" s="12" t="s">
        <v>188</v>
      </c>
      <c r="C14" s="12" t="s">
        <v>23</v>
      </c>
      <c r="D14" s="10" t="s">
        <v>32</v>
      </c>
      <c r="E14" s="11" t="s">
        <v>33</v>
      </c>
    </row>
    <row r="15" spans="2:5">
      <c r="B15" s="12" t="s">
        <v>208</v>
      </c>
      <c r="C15" s="12" t="s">
        <v>23</v>
      </c>
      <c r="D15" s="10" t="s">
        <v>34</v>
      </c>
      <c r="E15" s="11" t="s">
        <v>35</v>
      </c>
    </row>
    <row r="16" spans="2:5">
      <c r="B16" s="9" t="s">
        <v>219</v>
      </c>
      <c r="C16" s="12" t="s">
        <v>23</v>
      </c>
      <c r="D16" s="10" t="s">
        <v>36</v>
      </c>
      <c r="E16" s="11" t="s">
        <v>37</v>
      </c>
    </row>
    <row r="17" spans="2:5">
      <c r="B17" s="12" t="s">
        <v>226</v>
      </c>
      <c r="C17" s="12" t="s">
        <v>23</v>
      </c>
      <c r="D17" s="10" t="s">
        <v>38</v>
      </c>
      <c r="E17" s="11" t="s">
        <v>39</v>
      </c>
    </row>
    <row r="18" spans="2:5">
      <c r="B18" s="12" t="s">
        <v>247</v>
      </c>
      <c r="C18" s="12" t="s">
        <v>40</v>
      </c>
      <c r="D18" s="10" t="s">
        <v>41</v>
      </c>
      <c r="E18" s="11" t="s">
        <v>42</v>
      </c>
    </row>
    <row r="19" spans="2:5">
      <c r="B19" s="12" t="s">
        <v>258</v>
      </c>
      <c r="C19" s="12" t="s">
        <v>40</v>
      </c>
      <c r="D19" s="10" t="s">
        <v>43</v>
      </c>
      <c r="E19" s="11" t="s">
        <v>44</v>
      </c>
    </row>
    <row r="20" spans="2:5">
      <c r="B20" s="12" t="s">
        <v>273</v>
      </c>
      <c r="C20" s="12" t="s">
        <v>40</v>
      </c>
      <c r="D20" s="10" t="s">
        <v>45</v>
      </c>
      <c r="E20" s="11" t="s">
        <v>46</v>
      </c>
    </row>
    <row r="21" spans="2:5">
      <c r="B21" s="12" t="s">
        <v>288</v>
      </c>
      <c r="C21" s="12" t="s">
        <v>40</v>
      </c>
      <c r="D21" s="10" t="s">
        <v>47</v>
      </c>
      <c r="E21" s="11" t="s">
        <v>48</v>
      </c>
    </row>
    <row r="22" spans="2:5">
      <c r="B22" s="12" t="s">
        <v>303</v>
      </c>
      <c r="C22" s="12" t="s">
        <v>40</v>
      </c>
      <c r="D22" s="10" t="s">
        <v>49</v>
      </c>
      <c r="E22" s="11" t="s">
        <v>50</v>
      </c>
    </row>
    <row r="23" spans="2:5">
      <c r="C23" s="12" t="s">
        <v>40</v>
      </c>
      <c r="D23" s="10" t="s">
        <v>51</v>
      </c>
      <c r="E23" s="11" t="s">
        <v>52</v>
      </c>
    </row>
    <row r="24" spans="2:5">
      <c r="C24" s="12" t="s">
        <v>40</v>
      </c>
      <c r="D24" s="10" t="s">
        <v>53</v>
      </c>
      <c r="E24" s="11" t="s">
        <v>54</v>
      </c>
    </row>
    <row r="25" spans="2:5">
      <c r="C25" s="12" t="s">
        <v>40</v>
      </c>
      <c r="D25" s="10" t="s">
        <v>55</v>
      </c>
      <c r="E25" s="11" t="s">
        <v>56</v>
      </c>
    </row>
    <row r="26" spans="2:5">
      <c r="C26" s="12" t="s">
        <v>40</v>
      </c>
      <c r="D26" s="13" t="s">
        <v>57</v>
      </c>
      <c r="E26" s="11" t="s">
        <v>58</v>
      </c>
    </row>
    <row r="27" spans="2:5">
      <c r="C27" s="12" t="s">
        <v>40</v>
      </c>
      <c r="D27" s="13" t="s">
        <v>59</v>
      </c>
      <c r="E27" s="11" t="s">
        <v>60</v>
      </c>
    </row>
    <row r="28" spans="2:5">
      <c r="C28" s="12" t="s">
        <v>40</v>
      </c>
      <c r="D28" s="13" t="s">
        <v>61</v>
      </c>
      <c r="E28" s="11" t="s">
        <v>62</v>
      </c>
    </row>
    <row r="29" spans="2:5">
      <c r="C29" s="12" t="s">
        <v>40</v>
      </c>
      <c r="D29" s="13" t="s">
        <v>63</v>
      </c>
      <c r="E29" s="11" t="s">
        <v>64</v>
      </c>
    </row>
    <row r="30" spans="2:5">
      <c r="C30" s="12" t="s">
        <v>40</v>
      </c>
      <c r="D30" s="13" t="s">
        <v>65</v>
      </c>
      <c r="E30" s="11" t="s">
        <v>66</v>
      </c>
    </row>
    <row r="31" spans="2:5" ht="16.2" thickBot="1">
      <c r="C31" s="12" t="s">
        <v>40</v>
      </c>
      <c r="D31" s="14" t="s">
        <v>67</v>
      </c>
      <c r="E31" s="11" t="s">
        <v>68</v>
      </c>
    </row>
    <row r="32" spans="2:5">
      <c r="C32" s="12" t="s">
        <v>69</v>
      </c>
      <c r="D32" s="15" t="s">
        <v>70</v>
      </c>
      <c r="E32" s="11" t="s">
        <v>71</v>
      </c>
    </row>
    <row r="33" spans="3:5">
      <c r="C33" s="12" t="s">
        <v>69</v>
      </c>
      <c r="D33" s="10" t="s">
        <v>72</v>
      </c>
      <c r="E33" s="11" t="s">
        <v>73</v>
      </c>
    </row>
    <row r="34" spans="3:5">
      <c r="C34" s="12" t="s">
        <v>69</v>
      </c>
      <c r="D34" s="10" t="s">
        <v>74</v>
      </c>
      <c r="E34" s="11" t="s">
        <v>75</v>
      </c>
    </row>
    <row r="35" spans="3:5">
      <c r="C35" s="12" t="s">
        <v>69</v>
      </c>
      <c r="D35" s="10" t="s">
        <v>76</v>
      </c>
      <c r="E35" s="11" t="s">
        <v>77</v>
      </c>
    </row>
    <row r="36" spans="3:5">
      <c r="C36" s="12" t="s">
        <v>69</v>
      </c>
      <c r="D36" s="10" t="s">
        <v>78</v>
      </c>
      <c r="E36" s="11" t="s">
        <v>79</v>
      </c>
    </row>
    <row r="37" spans="3:5">
      <c r="C37" s="12" t="s">
        <v>69</v>
      </c>
      <c r="D37" s="10" t="s">
        <v>80</v>
      </c>
      <c r="E37" s="11" t="s">
        <v>81</v>
      </c>
    </row>
    <row r="38" spans="3:5">
      <c r="C38" s="12" t="s">
        <v>69</v>
      </c>
      <c r="D38" s="10" t="s">
        <v>82</v>
      </c>
      <c r="E38" s="11" t="s">
        <v>83</v>
      </c>
    </row>
    <row r="39" spans="3:5" ht="16.2" thickBot="1">
      <c r="C39" s="12" t="s">
        <v>69</v>
      </c>
      <c r="D39" s="16" t="s">
        <v>84</v>
      </c>
      <c r="E39" s="17" t="s">
        <v>85</v>
      </c>
    </row>
    <row r="40" spans="3:5">
      <c r="C40" s="12" t="s">
        <v>86</v>
      </c>
      <c r="D40" s="18" t="s">
        <v>87</v>
      </c>
      <c r="E40" s="19" t="s">
        <v>88</v>
      </c>
    </row>
    <row r="41" spans="3:5">
      <c r="C41" s="12" t="s">
        <v>86</v>
      </c>
      <c r="D41" s="20" t="s">
        <v>89</v>
      </c>
      <c r="E41" s="21" t="s">
        <v>90</v>
      </c>
    </row>
    <row r="42" spans="3:5">
      <c r="C42" s="12" t="s">
        <v>86</v>
      </c>
      <c r="D42" s="20" t="s">
        <v>91</v>
      </c>
      <c r="E42" s="21" t="s">
        <v>92</v>
      </c>
    </row>
    <row r="43" spans="3:5">
      <c r="C43" s="12" t="s">
        <v>86</v>
      </c>
      <c r="D43" s="20" t="s">
        <v>93</v>
      </c>
      <c r="E43" s="21" t="s">
        <v>94</v>
      </c>
    </row>
    <row r="44" spans="3:5">
      <c r="C44" s="12" t="s">
        <v>86</v>
      </c>
      <c r="D44" s="20" t="s">
        <v>95</v>
      </c>
      <c r="E44" s="21" t="s">
        <v>96</v>
      </c>
    </row>
    <row r="45" spans="3:5">
      <c r="C45" s="12" t="s">
        <v>86</v>
      </c>
      <c r="D45" s="20" t="s">
        <v>97</v>
      </c>
      <c r="E45" s="21" t="s">
        <v>98</v>
      </c>
    </row>
    <row r="46" spans="3:5">
      <c r="C46" s="12" t="s">
        <v>86</v>
      </c>
      <c r="D46" s="20" t="s">
        <v>99</v>
      </c>
      <c r="E46" s="21" t="s">
        <v>100</v>
      </c>
    </row>
    <row r="47" spans="3:5">
      <c r="C47" s="12" t="s">
        <v>86</v>
      </c>
      <c r="D47" s="20" t="s">
        <v>101</v>
      </c>
      <c r="E47" s="21" t="s">
        <v>100</v>
      </c>
    </row>
    <row r="48" spans="3:5">
      <c r="C48" s="12" t="s">
        <v>86</v>
      </c>
      <c r="D48" s="20" t="s">
        <v>102</v>
      </c>
      <c r="E48" s="21" t="s">
        <v>103</v>
      </c>
    </row>
    <row r="49" spans="3:5">
      <c r="C49" s="12" t="s">
        <v>86</v>
      </c>
      <c r="D49" s="20" t="s">
        <v>104</v>
      </c>
      <c r="E49" s="21" t="s">
        <v>100</v>
      </c>
    </row>
    <row r="50" spans="3:5">
      <c r="C50" s="12" t="s">
        <v>86</v>
      </c>
      <c r="D50" s="20" t="s">
        <v>105</v>
      </c>
      <c r="E50" s="21" t="s">
        <v>100</v>
      </c>
    </row>
    <row r="51" spans="3:5">
      <c r="C51" s="12" t="s">
        <v>106</v>
      </c>
      <c r="D51" s="20" t="s">
        <v>107</v>
      </c>
      <c r="E51" s="21" t="s">
        <v>108</v>
      </c>
    </row>
    <row r="52" spans="3:5">
      <c r="C52" s="12" t="s">
        <v>106</v>
      </c>
      <c r="D52" s="20" t="s">
        <v>109</v>
      </c>
      <c r="E52" s="21" t="s">
        <v>110</v>
      </c>
    </row>
    <row r="53" spans="3:5">
      <c r="C53" s="12" t="s">
        <v>106</v>
      </c>
      <c r="D53" s="20" t="s">
        <v>111</v>
      </c>
      <c r="E53" s="21" t="s">
        <v>112</v>
      </c>
    </row>
    <row r="54" spans="3:5">
      <c r="C54" s="12" t="s">
        <v>106</v>
      </c>
      <c r="D54" s="20" t="s">
        <v>113</v>
      </c>
      <c r="E54" s="21" t="s">
        <v>114</v>
      </c>
    </row>
    <row r="55" spans="3:5">
      <c r="C55" s="12" t="s">
        <v>106</v>
      </c>
      <c r="D55" s="20" t="s">
        <v>115</v>
      </c>
      <c r="E55" s="21" t="s">
        <v>116</v>
      </c>
    </row>
    <row r="56" spans="3:5">
      <c r="C56" s="12" t="s">
        <v>106</v>
      </c>
      <c r="D56" s="20" t="s">
        <v>117</v>
      </c>
      <c r="E56" s="21" t="s">
        <v>118</v>
      </c>
    </row>
    <row r="57" spans="3:5">
      <c r="C57" s="12" t="s">
        <v>106</v>
      </c>
      <c r="D57" s="20" t="s">
        <v>119</v>
      </c>
      <c r="E57" s="21" t="s">
        <v>120</v>
      </c>
    </row>
    <row r="58" spans="3:5">
      <c r="C58" s="12" t="s">
        <v>106</v>
      </c>
      <c r="D58" s="20" t="s">
        <v>121</v>
      </c>
      <c r="E58" s="21" t="s">
        <v>120</v>
      </c>
    </row>
    <row r="59" spans="3:5">
      <c r="C59" s="12" t="s">
        <v>106</v>
      </c>
      <c r="D59" s="20" t="s">
        <v>122</v>
      </c>
      <c r="E59" s="21" t="s">
        <v>123</v>
      </c>
    </row>
    <row r="60" spans="3:5">
      <c r="C60" s="12" t="s">
        <v>106</v>
      </c>
      <c r="D60" s="20" t="s">
        <v>124</v>
      </c>
      <c r="E60" s="21" t="s">
        <v>120</v>
      </c>
    </row>
    <row r="61" spans="3:5" ht="16.2" thickBot="1">
      <c r="C61" s="12" t="s">
        <v>106</v>
      </c>
      <c r="D61" s="22" t="s">
        <v>125</v>
      </c>
      <c r="E61" s="23" t="s">
        <v>120</v>
      </c>
    </row>
    <row r="62" spans="3:5">
      <c r="C62" s="9" t="s">
        <v>126</v>
      </c>
      <c r="D62" s="18" t="s">
        <v>127</v>
      </c>
      <c r="E62" s="19" t="s">
        <v>128</v>
      </c>
    </row>
    <row r="63" spans="3:5">
      <c r="C63" s="9" t="s">
        <v>126</v>
      </c>
      <c r="D63" s="20" t="s">
        <v>129</v>
      </c>
      <c r="E63" s="21" t="s">
        <v>130</v>
      </c>
    </row>
    <row r="64" spans="3:5">
      <c r="C64" s="9" t="s">
        <v>126</v>
      </c>
      <c r="D64" s="20" t="s">
        <v>131</v>
      </c>
      <c r="E64" s="21" t="s">
        <v>132</v>
      </c>
    </row>
    <row r="65" spans="3:5" ht="21.6">
      <c r="C65" s="9" t="s">
        <v>126</v>
      </c>
      <c r="D65" s="20" t="s">
        <v>133</v>
      </c>
      <c r="E65" s="21" t="s">
        <v>134</v>
      </c>
    </row>
    <row r="66" spans="3:5" ht="21.6">
      <c r="C66" s="9" t="s">
        <v>126</v>
      </c>
      <c r="D66" s="20" t="s">
        <v>135</v>
      </c>
      <c r="E66" s="21" t="s">
        <v>136</v>
      </c>
    </row>
    <row r="67" spans="3:5" ht="21.6">
      <c r="C67" s="9" t="s">
        <v>126</v>
      </c>
      <c r="D67" s="20" t="s">
        <v>137</v>
      </c>
      <c r="E67" s="21" t="s">
        <v>138</v>
      </c>
    </row>
    <row r="68" spans="3:5">
      <c r="C68" s="9" t="s">
        <v>126</v>
      </c>
      <c r="D68" s="20" t="s">
        <v>139</v>
      </c>
      <c r="E68" s="21" t="s">
        <v>140</v>
      </c>
    </row>
    <row r="69" spans="3:5">
      <c r="C69" s="9" t="s">
        <v>126</v>
      </c>
      <c r="D69" s="20" t="s">
        <v>141</v>
      </c>
      <c r="E69" s="21" t="s">
        <v>142</v>
      </c>
    </row>
    <row r="70" spans="3:5">
      <c r="C70" s="9" t="s">
        <v>126</v>
      </c>
      <c r="D70" s="20" t="s">
        <v>143</v>
      </c>
      <c r="E70" s="21" t="s">
        <v>144</v>
      </c>
    </row>
    <row r="71" spans="3:5">
      <c r="C71" s="9" t="s">
        <v>145</v>
      </c>
      <c r="D71" s="20" t="s">
        <v>146</v>
      </c>
      <c r="E71" s="21" t="s">
        <v>147</v>
      </c>
    </row>
    <row r="72" spans="3:5">
      <c r="C72" s="9" t="s">
        <v>145</v>
      </c>
      <c r="D72" s="20" t="s">
        <v>148</v>
      </c>
      <c r="E72" s="21" t="s">
        <v>149</v>
      </c>
    </row>
    <row r="73" spans="3:5" ht="21.6">
      <c r="C73" s="9" t="s">
        <v>145</v>
      </c>
      <c r="D73" s="20" t="s">
        <v>150</v>
      </c>
      <c r="E73" s="21" t="s">
        <v>151</v>
      </c>
    </row>
    <row r="74" spans="3:5" ht="21.6">
      <c r="C74" s="9" t="s">
        <v>145</v>
      </c>
      <c r="D74" s="20" t="s">
        <v>152</v>
      </c>
      <c r="E74" s="21" t="s">
        <v>153</v>
      </c>
    </row>
    <row r="75" spans="3:5" ht="21.6">
      <c r="C75" s="9" t="s">
        <v>145</v>
      </c>
      <c r="D75" s="20" t="s">
        <v>154</v>
      </c>
      <c r="E75" s="21" t="s">
        <v>136</v>
      </c>
    </row>
    <row r="76" spans="3:5" ht="21.6">
      <c r="C76" s="9" t="s">
        <v>145</v>
      </c>
      <c r="D76" s="20" t="s">
        <v>155</v>
      </c>
      <c r="E76" s="21" t="s">
        <v>138</v>
      </c>
    </row>
    <row r="77" spans="3:5">
      <c r="C77" s="9" t="s">
        <v>145</v>
      </c>
      <c r="D77" s="20" t="s">
        <v>156</v>
      </c>
      <c r="E77" s="21" t="s">
        <v>140</v>
      </c>
    </row>
    <row r="78" spans="3:5">
      <c r="C78" s="9" t="s">
        <v>145</v>
      </c>
      <c r="D78" s="20" t="s">
        <v>157</v>
      </c>
      <c r="E78" s="21" t="s">
        <v>142</v>
      </c>
    </row>
    <row r="79" spans="3:5" ht="16.2" thickBot="1">
      <c r="C79" s="9" t="s">
        <v>145</v>
      </c>
      <c r="D79" s="22" t="s">
        <v>158</v>
      </c>
      <c r="E79" s="23" t="s">
        <v>144</v>
      </c>
    </row>
    <row r="80" spans="3:5">
      <c r="C80" s="12" t="s">
        <v>159</v>
      </c>
      <c r="D80" s="15" t="s">
        <v>160</v>
      </c>
      <c r="E80" s="24" t="s">
        <v>161</v>
      </c>
    </row>
    <row r="81" spans="3:5">
      <c r="C81" s="12" t="s">
        <v>159</v>
      </c>
      <c r="D81" s="20" t="s">
        <v>162</v>
      </c>
      <c r="E81" s="21" t="s">
        <v>163</v>
      </c>
    </row>
    <row r="82" spans="3:5">
      <c r="C82" s="12" t="s">
        <v>159</v>
      </c>
      <c r="D82" s="20" t="s">
        <v>164</v>
      </c>
      <c r="E82" s="21" t="s">
        <v>165</v>
      </c>
    </row>
    <row r="83" spans="3:5">
      <c r="C83" s="12" t="s">
        <v>159</v>
      </c>
      <c r="D83" s="20" t="s">
        <v>166</v>
      </c>
      <c r="E83" s="21" t="s">
        <v>167</v>
      </c>
    </row>
    <row r="84" spans="3:5">
      <c r="C84" s="12" t="s">
        <v>159</v>
      </c>
      <c r="D84" s="20" t="s">
        <v>168</v>
      </c>
      <c r="E84" s="21" t="s">
        <v>169</v>
      </c>
    </row>
    <row r="85" spans="3:5">
      <c r="C85" s="12" t="s">
        <v>159</v>
      </c>
      <c r="D85" s="20" t="s">
        <v>170</v>
      </c>
      <c r="E85" s="21" t="s">
        <v>167</v>
      </c>
    </row>
    <row r="86" spans="3:5">
      <c r="C86" s="12" t="s">
        <v>159</v>
      </c>
      <c r="D86" s="20" t="s">
        <v>171</v>
      </c>
      <c r="E86" s="21" t="s">
        <v>167</v>
      </c>
    </row>
    <row r="87" spans="3:5" ht="16.2" thickBot="1">
      <c r="C87" s="12" t="s">
        <v>159</v>
      </c>
      <c r="D87" s="22" t="s">
        <v>172</v>
      </c>
      <c r="E87" s="23" t="s">
        <v>167</v>
      </c>
    </row>
    <row r="88" spans="3:5">
      <c r="C88" s="12" t="s">
        <v>173</v>
      </c>
      <c r="D88" s="15" t="s">
        <v>174</v>
      </c>
      <c r="E88" s="24" t="s">
        <v>175</v>
      </c>
    </row>
    <row r="89" spans="3:5">
      <c r="C89" s="12" t="s">
        <v>173</v>
      </c>
      <c r="D89" s="10" t="s">
        <v>176</v>
      </c>
      <c r="E89" s="11" t="s">
        <v>177</v>
      </c>
    </row>
    <row r="90" spans="3:5">
      <c r="C90" s="12" t="s">
        <v>173</v>
      </c>
      <c r="D90" s="10" t="s">
        <v>178</v>
      </c>
      <c r="E90" s="11" t="s">
        <v>179</v>
      </c>
    </row>
    <row r="91" spans="3:5">
      <c r="C91" s="12" t="s">
        <v>173</v>
      </c>
      <c r="D91" s="10" t="s">
        <v>180</v>
      </c>
      <c r="E91" s="11" t="s">
        <v>181</v>
      </c>
    </row>
    <row r="92" spans="3:5">
      <c r="C92" s="12" t="s">
        <v>173</v>
      </c>
      <c r="D92" s="10" t="s">
        <v>182</v>
      </c>
      <c r="E92" s="11" t="s">
        <v>183</v>
      </c>
    </row>
    <row r="93" spans="3:5" ht="16.2" thickBot="1">
      <c r="C93" s="12" t="s">
        <v>173</v>
      </c>
      <c r="D93" s="16" t="s">
        <v>184</v>
      </c>
      <c r="E93" s="17" t="s">
        <v>181</v>
      </c>
    </row>
    <row r="94" spans="3:5" ht="16.2" thickBot="1">
      <c r="C94" s="12" t="s">
        <v>173</v>
      </c>
      <c r="D94" s="25" t="s">
        <v>185</v>
      </c>
      <c r="E94" s="26" t="s">
        <v>181</v>
      </c>
    </row>
    <row r="95" spans="3:5">
      <c r="C95" s="12" t="s">
        <v>173</v>
      </c>
      <c r="D95" s="18" t="s">
        <v>186</v>
      </c>
      <c r="E95" s="19" t="s">
        <v>187</v>
      </c>
    </row>
    <row r="96" spans="3:5">
      <c r="C96" s="12" t="s">
        <v>188</v>
      </c>
      <c r="D96" s="20" t="s">
        <v>189</v>
      </c>
      <c r="E96" s="21" t="s">
        <v>190</v>
      </c>
    </row>
    <row r="97" spans="3:5" ht="21.6">
      <c r="C97" s="12" t="s">
        <v>188</v>
      </c>
      <c r="D97" s="20" t="s">
        <v>191</v>
      </c>
      <c r="E97" s="21" t="s">
        <v>192</v>
      </c>
    </row>
    <row r="98" spans="3:5">
      <c r="C98" s="12" t="s">
        <v>188</v>
      </c>
      <c r="D98" s="20" t="s">
        <v>193</v>
      </c>
      <c r="E98" s="21" t="s">
        <v>194</v>
      </c>
    </row>
    <row r="99" spans="3:5">
      <c r="C99" s="12" t="s">
        <v>188</v>
      </c>
      <c r="D99" s="20" t="s">
        <v>195</v>
      </c>
      <c r="E99" s="21" t="s">
        <v>196</v>
      </c>
    </row>
    <row r="100" spans="3:5">
      <c r="C100" s="12" t="s">
        <v>188</v>
      </c>
      <c r="D100" s="20" t="s">
        <v>197</v>
      </c>
      <c r="E100" s="21" t="s">
        <v>198</v>
      </c>
    </row>
    <row r="101" spans="3:5">
      <c r="C101" s="12" t="s">
        <v>188</v>
      </c>
      <c r="D101" s="20" t="s">
        <v>199</v>
      </c>
      <c r="E101" s="21" t="s">
        <v>200</v>
      </c>
    </row>
    <row r="102" spans="3:5">
      <c r="C102" s="12" t="s">
        <v>188</v>
      </c>
      <c r="D102" s="20" t="s">
        <v>201</v>
      </c>
      <c r="E102" s="21" t="s">
        <v>200</v>
      </c>
    </row>
    <row r="103" spans="3:5">
      <c r="C103" s="12" t="s">
        <v>188</v>
      </c>
      <c r="D103" s="20" t="s">
        <v>202</v>
      </c>
      <c r="E103" s="21" t="s">
        <v>200</v>
      </c>
    </row>
    <row r="104" spans="3:5">
      <c r="C104" s="12" t="s">
        <v>188</v>
      </c>
      <c r="D104" s="20" t="s">
        <v>203</v>
      </c>
      <c r="E104" s="21" t="s">
        <v>204</v>
      </c>
    </row>
    <row r="105" spans="3:5">
      <c r="C105" s="12" t="s">
        <v>188</v>
      </c>
      <c r="D105" s="20" t="s">
        <v>205</v>
      </c>
      <c r="E105" s="21" t="s">
        <v>206</v>
      </c>
    </row>
    <row r="106" spans="3:5">
      <c r="C106" s="12" t="s">
        <v>188</v>
      </c>
      <c r="D106" s="20" t="s">
        <v>207</v>
      </c>
      <c r="E106" s="21" t="s">
        <v>200</v>
      </c>
    </row>
    <row r="107" spans="3:5">
      <c r="C107" s="12" t="s">
        <v>208</v>
      </c>
      <c r="D107" s="20" t="s">
        <v>209</v>
      </c>
      <c r="E107" s="21" t="s">
        <v>210</v>
      </c>
    </row>
    <row r="108" spans="3:5">
      <c r="C108" s="12" t="s">
        <v>208</v>
      </c>
      <c r="D108" s="20" t="s">
        <v>211</v>
      </c>
      <c r="E108" s="21" t="s">
        <v>212</v>
      </c>
    </row>
    <row r="109" spans="3:5">
      <c r="C109" s="12" t="s">
        <v>208</v>
      </c>
      <c r="D109" s="20" t="s">
        <v>213</v>
      </c>
      <c r="E109" s="21" t="s">
        <v>212</v>
      </c>
    </row>
    <row r="110" spans="3:5">
      <c r="C110" s="12" t="s">
        <v>208</v>
      </c>
      <c r="D110" s="20" t="s">
        <v>214</v>
      </c>
      <c r="E110" s="21" t="s">
        <v>215</v>
      </c>
    </row>
    <row r="111" spans="3:5" ht="16.2" thickBot="1">
      <c r="C111" s="12" t="s">
        <v>208</v>
      </c>
      <c r="D111" s="22" t="s">
        <v>216</v>
      </c>
      <c r="E111" s="23" t="s">
        <v>217</v>
      </c>
    </row>
    <row r="112" spans="3:5">
      <c r="C112" s="9" t="s">
        <v>208</v>
      </c>
      <c r="D112" s="18" t="s">
        <v>218</v>
      </c>
      <c r="E112" s="19" t="s">
        <v>190</v>
      </c>
    </row>
    <row r="113" spans="3:5">
      <c r="C113" s="9" t="s">
        <v>219</v>
      </c>
      <c r="D113" s="20" t="s">
        <v>220</v>
      </c>
      <c r="E113" s="21" t="s">
        <v>221</v>
      </c>
    </row>
    <row r="114" spans="3:5" ht="16.2" thickBot="1">
      <c r="C114" s="9" t="s">
        <v>219</v>
      </c>
      <c r="D114" s="22" t="s">
        <v>222</v>
      </c>
      <c r="E114" s="23" t="s">
        <v>223</v>
      </c>
    </row>
    <row r="115" spans="3:5">
      <c r="C115" s="12" t="s">
        <v>219</v>
      </c>
      <c r="D115" s="18" t="s">
        <v>224</v>
      </c>
      <c r="E115" s="19" t="s">
        <v>225</v>
      </c>
    </row>
    <row r="116" spans="3:5">
      <c r="C116" s="12" t="s">
        <v>226</v>
      </c>
      <c r="D116" s="20" t="s">
        <v>227</v>
      </c>
      <c r="E116" s="21" t="s">
        <v>228</v>
      </c>
    </row>
    <row r="117" spans="3:5">
      <c r="C117" s="12" t="s">
        <v>226</v>
      </c>
      <c r="D117" s="20" t="s">
        <v>229</v>
      </c>
      <c r="E117" s="21" t="s">
        <v>230</v>
      </c>
    </row>
    <row r="118" spans="3:5">
      <c r="C118" s="12" t="s">
        <v>226</v>
      </c>
      <c r="D118" s="20" t="s">
        <v>231</v>
      </c>
      <c r="E118" s="21" t="s">
        <v>232</v>
      </c>
    </row>
    <row r="119" spans="3:5">
      <c r="C119" s="12" t="s">
        <v>226</v>
      </c>
      <c r="D119" s="20" t="s">
        <v>233</v>
      </c>
      <c r="E119" s="21" t="s">
        <v>234</v>
      </c>
    </row>
    <row r="120" spans="3:5">
      <c r="C120" s="12" t="s">
        <v>226</v>
      </c>
      <c r="D120" s="20" t="s">
        <v>235</v>
      </c>
      <c r="E120" s="21" t="s">
        <v>236</v>
      </c>
    </row>
    <row r="121" spans="3:5">
      <c r="C121" s="12" t="s">
        <v>226</v>
      </c>
      <c r="D121" s="20" t="s">
        <v>237</v>
      </c>
      <c r="E121" s="21" t="s">
        <v>238</v>
      </c>
    </row>
    <row r="122" spans="3:5">
      <c r="C122" s="12" t="s">
        <v>226</v>
      </c>
      <c r="D122" s="20" t="s">
        <v>239</v>
      </c>
      <c r="E122" s="21" t="s">
        <v>240</v>
      </c>
    </row>
    <row r="123" spans="3:5">
      <c r="C123" s="12" t="s">
        <v>226</v>
      </c>
      <c r="D123" s="20" t="s">
        <v>241</v>
      </c>
      <c r="E123" s="21" t="s">
        <v>242</v>
      </c>
    </row>
    <row r="124" spans="3:5" ht="16.2" thickBot="1">
      <c r="C124" s="12" t="s">
        <v>226</v>
      </c>
      <c r="D124" s="22" t="s">
        <v>243</v>
      </c>
      <c r="E124" s="23" t="s">
        <v>244</v>
      </c>
    </row>
    <row r="125" spans="3:5">
      <c r="C125" s="12" t="s">
        <v>226</v>
      </c>
      <c r="D125" s="18" t="s">
        <v>245</v>
      </c>
      <c r="E125" s="19" t="s">
        <v>246</v>
      </c>
    </row>
    <row r="126" spans="3:5">
      <c r="C126" s="12" t="s">
        <v>247</v>
      </c>
      <c r="D126" s="20" t="s">
        <v>248</v>
      </c>
      <c r="E126" s="21" t="s">
        <v>249</v>
      </c>
    </row>
    <row r="127" spans="3:5">
      <c r="C127" s="12" t="s">
        <v>247</v>
      </c>
      <c r="D127" s="20" t="s">
        <v>250</v>
      </c>
      <c r="E127" s="21" t="s">
        <v>251</v>
      </c>
    </row>
    <row r="128" spans="3:5">
      <c r="C128" s="12" t="s">
        <v>247</v>
      </c>
      <c r="D128" s="20" t="s">
        <v>252</v>
      </c>
      <c r="E128" s="21" t="s">
        <v>253</v>
      </c>
    </row>
    <row r="129" spans="3:5" ht="16.2" thickBot="1">
      <c r="C129" s="12" t="s">
        <v>247</v>
      </c>
      <c r="D129" s="22" t="s">
        <v>254</v>
      </c>
      <c r="E129" s="23" t="s">
        <v>255</v>
      </c>
    </row>
    <row r="130" spans="3:5">
      <c r="C130" s="12" t="s">
        <v>247</v>
      </c>
      <c r="D130" s="18" t="s">
        <v>256</v>
      </c>
      <c r="E130" s="19" t="s">
        <v>257</v>
      </c>
    </row>
    <row r="131" spans="3:5">
      <c r="C131" s="12" t="s">
        <v>258</v>
      </c>
      <c r="D131" s="20" t="s">
        <v>259</v>
      </c>
      <c r="E131" s="21" t="s">
        <v>260</v>
      </c>
    </row>
    <row r="132" spans="3:5">
      <c r="C132" s="12" t="s">
        <v>258</v>
      </c>
      <c r="D132" s="20" t="s">
        <v>261</v>
      </c>
      <c r="E132" s="21" t="s">
        <v>262</v>
      </c>
    </row>
    <row r="133" spans="3:5">
      <c r="C133" s="12" t="s">
        <v>258</v>
      </c>
      <c r="D133" s="20" t="s">
        <v>263</v>
      </c>
      <c r="E133" s="21" t="s">
        <v>264</v>
      </c>
    </row>
    <row r="134" spans="3:5">
      <c r="C134" s="12" t="s">
        <v>258</v>
      </c>
      <c r="D134" s="20" t="s">
        <v>265</v>
      </c>
      <c r="E134" s="21" t="s">
        <v>266</v>
      </c>
    </row>
    <row r="135" spans="3:5">
      <c r="C135" s="12" t="s">
        <v>258</v>
      </c>
      <c r="D135" s="20" t="s">
        <v>267</v>
      </c>
      <c r="E135" s="21" t="s">
        <v>268</v>
      </c>
    </row>
    <row r="136" spans="3:5" ht="16.2" thickBot="1">
      <c r="C136" s="12" t="s">
        <v>258</v>
      </c>
      <c r="D136" s="22" t="s">
        <v>269</v>
      </c>
      <c r="E136" s="23" t="s">
        <v>270</v>
      </c>
    </row>
    <row r="137" spans="3:5">
      <c r="C137" s="12" t="s">
        <v>258</v>
      </c>
      <c r="D137" s="18" t="s">
        <v>271</v>
      </c>
      <c r="E137" s="19" t="s">
        <v>272</v>
      </c>
    </row>
    <row r="138" spans="3:5">
      <c r="C138" s="12" t="s">
        <v>273</v>
      </c>
      <c r="D138" s="20" t="s">
        <v>274</v>
      </c>
      <c r="E138" s="21" t="s">
        <v>275</v>
      </c>
    </row>
    <row r="139" spans="3:5">
      <c r="C139" s="12" t="s">
        <v>273</v>
      </c>
      <c r="D139" s="20" t="s">
        <v>276</v>
      </c>
      <c r="E139" s="21" t="s">
        <v>277</v>
      </c>
    </row>
    <row r="140" spans="3:5">
      <c r="C140" s="12" t="s">
        <v>273</v>
      </c>
      <c r="D140" s="20" t="s">
        <v>278</v>
      </c>
      <c r="E140" s="21" t="s">
        <v>279</v>
      </c>
    </row>
    <row r="141" spans="3:5">
      <c r="C141" s="12" t="s">
        <v>273</v>
      </c>
      <c r="D141" s="20" t="s">
        <v>280</v>
      </c>
      <c r="E141" s="21" t="s">
        <v>281</v>
      </c>
    </row>
    <row r="142" spans="3:5">
      <c r="C142" s="12" t="s">
        <v>273</v>
      </c>
      <c r="D142" s="20" t="s">
        <v>282</v>
      </c>
      <c r="E142" s="21" t="s">
        <v>283</v>
      </c>
    </row>
    <row r="143" spans="3:5" ht="16.2" thickBot="1">
      <c r="C143" s="12" t="s">
        <v>273</v>
      </c>
      <c r="D143" s="22" t="s">
        <v>284</v>
      </c>
      <c r="E143" s="23" t="s">
        <v>285</v>
      </c>
    </row>
    <row r="144" spans="3:5">
      <c r="C144" s="12" t="s">
        <v>273</v>
      </c>
      <c r="D144" s="18" t="s">
        <v>286</v>
      </c>
      <c r="E144" s="19" t="s">
        <v>287</v>
      </c>
    </row>
    <row r="145" spans="3:5">
      <c r="C145" s="12" t="s">
        <v>288</v>
      </c>
      <c r="D145" s="20" t="s">
        <v>289</v>
      </c>
      <c r="E145" s="21" t="s">
        <v>290</v>
      </c>
    </row>
    <row r="146" spans="3:5">
      <c r="C146" s="12" t="s">
        <v>288</v>
      </c>
      <c r="D146" s="20" t="s">
        <v>291</v>
      </c>
      <c r="E146" s="21" t="s">
        <v>292</v>
      </c>
    </row>
    <row r="147" spans="3:5">
      <c r="C147" s="12" t="s">
        <v>288</v>
      </c>
      <c r="D147" s="20" t="s">
        <v>293</v>
      </c>
      <c r="E147" s="21" t="s">
        <v>294</v>
      </c>
    </row>
    <row r="148" spans="3:5">
      <c r="C148" s="12" t="s">
        <v>288</v>
      </c>
      <c r="D148" s="20" t="s">
        <v>295</v>
      </c>
      <c r="E148" s="21" t="s">
        <v>296</v>
      </c>
    </row>
    <row r="149" spans="3:5">
      <c r="C149" s="12" t="s">
        <v>288</v>
      </c>
      <c r="D149" s="20" t="s">
        <v>297</v>
      </c>
      <c r="E149" s="21" t="s">
        <v>298</v>
      </c>
    </row>
    <row r="150" spans="3:5" ht="16.2" thickBot="1">
      <c r="C150" s="12" t="s">
        <v>288</v>
      </c>
      <c r="D150" s="22" t="s">
        <v>299</v>
      </c>
      <c r="E150" s="23" t="s">
        <v>300</v>
      </c>
    </row>
    <row r="151" spans="3:5">
      <c r="C151" s="12" t="s">
        <v>288</v>
      </c>
      <c r="D151" s="18" t="s">
        <v>301</v>
      </c>
      <c r="E151" s="19" t="s">
        <v>302</v>
      </c>
    </row>
    <row r="152" spans="3:5">
      <c r="C152" s="12" t="s">
        <v>303</v>
      </c>
      <c r="D152" s="20" t="s">
        <v>304</v>
      </c>
      <c r="E152" s="21" t="s">
        <v>305</v>
      </c>
    </row>
    <row r="153" spans="3:5">
      <c r="C153" s="12" t="s">
        <v>303</v>
      </c>
      <c r="D153" s="20" t="s">
        <v>306</v>
      </c>
      <c r="E153" s="21" t="s">
        <v>307</v>
      </c>
    </row>
    <row r="154" spans="3:5">
      <c r="C154" s="12" t="s">
        <v>303</v>
      </c>
      <c r="D154" s="20" t="s">
        <v>308</v>
      </c>
      <c r="E154" s="21" t="s">
        <v>309</v>
      </c>
    </row>
    <row r="155" spans="3:5">
      <c r="C155" s="12" t="s">
        <v>303</v>
      </c>
      <c r="D155" s="20" t="s">
        <v>310</v>
      </c>
      <c r="E155" s="21" t="s">
        <v>311</v>
      </c>
    </row>
    <row r="156" spans="3:5">
      <c r="C156" s="12" t="s">
        <v>303</v>
      </c>
      <c r="D156" s="20" t="s">
        <v>312</v>
      </c>
      <c r="E156" s="21" t="s">
        <v>298</v>
      </c>
    </row>
    <row r="157" spans="3:5" ht="16.2" thickBot="1">
      <c r="C157" s="12" t="s">
        <v>303</v>
      </c>
      <c r="D157" s="22" t="s">
        <v>313</v>
      </c>
      <c r="E157" s="23" t="s">
        <v>300</v>
      </c>
    </row>
    <row r="158" spans="3:5">
      <c r="C158" s="9" t="s">
        <v>303</v>
      </c>
      <c r="D158" s="18" t="s">
        <v>314</v>
      </c>
      <c r="E158" s="19" t="s">
        <v>315</v>
      </c>
    </row>
    <row r="159" spans="3:5" ht="16.2" thickBot="1">
      <c r="C159" s="9" t="s">
        <v>316</v>
      </c>
      <c r="D159" s="22" t="s">
        <v>317</v>
      </c>
      <c r="E159" s="23" t="s">
        <v>318</v>
      </c>
    </row>
    <row r="160" spans="3:5">
      <c r="C160" s="12" t="s">
        <v>316</v>
      </c>
      <c r="D160" s="18" t="s">
        <v>319</v>
      </c>
      <c r="E160" s="19" t="s">
        <v>320</v>
      </c>
    </row>
    <row r="161" spans="3:5">
      <c r="C161" s="12" t="s">
        <v>321</v>
      </c>
      <c r="D161" s="20" t="s">
        <v>322</v>
      </c>
      <c r="E161" s="21" t="s">
        <v>323</v>
      </c>
    </row>
    <row r="162" spans="3:5">
      <c r="C162" s="12" t="s">
        <v>321</v>
      </c>
      <c r="D162" s="20" t="s">
        <v>324</v>
      </c>
      <c r="E162" s="21" t="s">
        <v>325</v>
      </c>
    </row>
    <row r="163" spans="3:5">
      <c r="C163" s="12" t="s">
        <v>321</v>
      </c>
      <c r="D163" s="20" t="s">
        <v>326</v>
      </c>
      <c r="E163" s="21" t="s">
        <v>327</v>
      </c>
    </row>
    <row r="164" spans="3:5">
      <c r="C164" s="12" t="s">
        <v>321</v>
      </c>
      <c r="D164" s="20" t="s">
        <v>328</v>
      </c>
      <c r="E164" s="21" t="s">
        <v>329</v>
      </c>
    </row>
    <row r="165" spans="3:5">
      <c r="C165" s="12" t="s">
        <v>321</v>
      </c>
      <c r="D165" s="20" t="s">
        <v>330</v>
      </c>
      <c r="E165" s="21" t="s">
        <v>331</v>
      </c>
    </row>
    <row r="166" spans="3:5">
      <c r="C166" s="12" t="s">
        <v>321</v>
      </c>
      <c r="D166" s="20" t="s">
        <v>332</v>
      </c>
      <c r="E166" s="21" t="s">
        <v>333</v>
      </c>
    </row>
    <row r="167" spans="3:5">
      <c r="C167" s="12" t="s">
        <v>321</v>
      </c>
      <c r="D167" s="20" t="s">
        <v>334</v>
      </c>
      <c r="E167" s="21" t="s">
        <v>335</v>
      </c>
    </row>
    <row r="168" spans="3:5" ht="16.2" thickBot="1">
      <c r="C168" s="12" t="s">
        <v>321</v>
      </c>
      <c r="D168" s="22" t="s">
        <v>336</v>
      </c>
      <c r="E168" s="23" t="s">
        <v>337</v>
      </c>
    </row>
    <row r="169" spans="3:5">
      <c r="C169" s="12" t="s">
        <v>321</v>
      </c>
      <c r="D169" s="18" t="s">
        <v>338</v>
      </c>
      <c r="E169" s="19" t="s">
        <v>339</v>
      </c>
    </row>
    <row r="170" spans="3:5">
      <c r="C170" s="12" t="s">
        <v>321</v>
      </c>
      <c r="D170" s="27" t="s">
        <v>340</v>
      </c>
      <c r="E170" s="28" t="s">
        <v>341</v>
      </c>
    </row>
    <row r="171" spans="3:5">
      <c r="C171" s="12" t="s">
        <v>342</v>
      </c>
      <c r="D171" s="27" t="s">
        <v>343</v>
      </c>
      <c r="E171" s="28" t="s">
        <v>344</v>
      </c>
    </row>
    <row r="172" spans="3:5">
      <c r="C172" s="12" t="s">
        <v>342</v>
      </c>
      <c r="D172" s="27" t="s">
        <v>345</v>
      </c>
      <c r="E172" s="28" t="s">
        <v>346</v>
      </c>
    </row>
    <row r="173" spans="3:5">
      <c r="C173" s="12" t="s">
        <v>342</v>
      </c>
      <c r="D173" s="27" t="s">
        <v>347</v>
      </c>
      <c r="E173" s="28" t="s">
        <v>348</v>
      </c>
    </row>
    <row r="174" spans="3:5">
      <c r="C174" s="12" t="s">
        <v>342</v>
      </c>
      <c r="D174" s="27" t="s">
        <v>349</v>
      </c>
      <c r="E174" s="28" t="s">
        <v>350</v>
      </c>
    </row>
    <row r="175" spans="3:5">
      <c r="C175" s="12" t="s">
        <v>342</v>
      </c>
      <c r="D175" s="27" t="s">
        <v>351</v>
      </c>
      <c r="E175" s="28" t="s">
        <v>352</v>
      </c>
    </row>
    <row r="176" spans="3:5">
      <c r="C176" s="12" t="s">
        <v>342</v>
      </c>
      <c r="D176" s="27" t="s">
        <v>353</v>
      </c>
      <c r="E176" s="28" t="s">
        <v>354</v>
      </c>
    </row>
    <row r="177" spans="3:5">
      <c r="C177" s="12" t="s">
        <v>342</v>
      </c>
      <c r="D177" s="27" t="s">
        <v>355</v>
      </c>
      <c r="E177" s="28" t="s">
        <v>356</v>
      </c>
    </row>
    <row r="178" spans="3:5">
      <c r="C178" s="12" t="s">
        <v>342</v>
      </c>
      <c r="D178" s="27" t="s">
        <v>357</v>
      </c>
      <c r="E178" s="28" t="s">
        <v>358</v>
      </c>
    </row>
    <row r="179" spans="3:5">
      <c r="C179" s="12" t="s">
        <v>359</v>
      </c>
      <c r="D179" s="27" t="s">
        <v>360</v>
      </c>
      <c r="E179" s="28" t="s">
        <v>361</v>
      </c>
    </row>
    <row r="180" spans="3:5">
      <c r="C180" s="12" t="s">
        <v>359</v>
      </c>
      <c r="D180" s="20" t="s">
        <v>362</v>
      </c>
      <c r="E180" s="21" t="s">
        <v>363</v>
      </c>
    </row>
    <row r="181" spans="3:5">
      <c r="C181" s="12" t="s">
        <v>364</v>
      </c>
      <c r="D181" s="20" t="s">
        <v>365</v>
      </c>
      <c r="E181" s="21" t="s">
        <v>366</v>
      </c>
    </row>
    <row r="182" spans="3:5">
      <c r="C182" s="12" t="s">
        <v>364</v>
      </c>
      <c r="D182" s="20" t="s">
        <v>367</v>
      </c>
      <c r="E182" s="21" t="s">
        <v>368</v>
      </c>
    </row>
    <row r="183" spans="3:5">
      <c r="C183" s="12" t="s">
        <v>364</v>
      </c>
      <c r="D183" s="20" t="s">
        <v>369</v>
      </c>
      <c r="E183" s="21" t="s">
        <v>370</v>
      </c>
    </row>
    <row r="184" spans="3:5">
      <c r="C184" s="12" t="s">
        <v>364</v>
      </c>
      <c r="D184" s="20" t="s">
        <v>371</v>
      </c>
      <c r="E184" s="21" t="s">
        <v>372</v>
      </c>
    </row>
  </sheetData>
  <sheetProtection autoFilter="0" pivotTables="0"/>
  <autoFilter ref="A2:F184"/>
  <phoneticPr fontId="1"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2</vt:i4>
      </vt:variant>
      <vt:variant>
        <vt:lpstr>命名范围</vt:lpstr>
      </vt:variant>
      <vt:variant>
        <vt:i4>21</vt:i4>
      </vt:variant>
    </vt:vector>
  </HeadingPairs>
  <TitlesOfParts>
    <vt:vector size="23" baseType="lpstr">
      <vt:lpstr>A区</vt:lpstr>
      <vt:lpstr>工位附件</vt:lpstr>
      <vt:lpstr>CO2焊房</vt:lpstr>
      <vt:lpstr>MB1线</vt:lpstr>
      <vt:lpstr>MB2线</vt:lpstr>
      <vt:lpstr>A区!Print_Area</vt:lpstr>
      <vt:lpstr>UB线</vt:lpstr>
      <vt:lpstr>顶盖</vt:lpstr>
      <vt:lpstr>发盖</vt:lpstr>
      <vt:lpstr>行李箱盖</vt:lpstr>
      <vt:lpstr>后地板分装线</vt:lpstr>
      <vt:lpstr>机舱自动线</vt:lpstr>
      <vt:lpstr>前地板分装线</vt:lpstr>
      <vt:lpstr>前围板分装线</vt:lpstr>
      <vt:lpstr>前纵梁线</vt:lpstr>
      <vt:lpstr>右侧围分装线</vt:lpstr>
      <vt:lpstr>右侧围自动线</vt:lpstr>
      <vt:lpstr>右后门</vt:lpstr>
      <vt:lpstr>右前门</vt:lpstr>
      <vt:lpstr>左侧围分装线</vt:lpstr>
      <vt:lpstr>左侧围自动线</vt:lpstr>
      <vt:lpstr>左后门</vt:lpstr>
      <vt:lpstr>左前门</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2020-11-21T07:59:36Z</dcterms:modified>
</cp:coreProperties>
</file>