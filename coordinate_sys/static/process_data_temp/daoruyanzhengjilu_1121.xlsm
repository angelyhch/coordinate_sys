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ython\coordinate_sys\coordinate_sys\static\process_data_temp\"/>
    </mc:Choice>
  </mc:AlternateContent>
  <bookViews>
    <workbookView xWindow="0" yWindow="420" windowWidth="12240" windowHeight="6588" tabRatio="741"/>
  </bookViews>
  <sheets>
    <sheet name="问题清单" sheetId="33" r:id="rId1"/>
    <sheet name="工序工时定额表" sheetId="31" state="hidden" r:id="rId2"/>
    <sheet name="版本更新记录" sheetId="29" state="hidden" r:id="rId3"/>
    <sheet name="辅助表" sheetId="28" state="hidden" r:id="rId4"/>
  </sheets>
  <functionGroups builtInGroupCount="18"/>
  <externalReferences>
    <externalReference r:id="rId5"/>
  </externalReferences>
  <definedNames>
    <definedName name="_xlnm._FilterDatabase" localSheetId="1" hidden="1">工序工时定额表!$A$4:$K$211</definedName>
    <definedName name="_xlnm._FilterDatabase" localSheetId="0" hidden="1">问题清单!$A$1:$R$226</definedName>
    <definedName name="CO2焊房">辅助表!$AB$2:$AB$3</definedName>
    <definedName name="MB1线">辅助表!$S$2:$S$12</definedName>
    <definedName name="MB2线">辅助表!$T$2:$T$7</definedName>
    <definedName name="_xlnm.Print_Area" localSheetId="0">问题清单!$A$1:$R$211</definedName>
    <definedName name="_xlnm.Print_Titles" localSheetId="0">问题清单!$1:$1</definedName>
    <definedName name="UB线">辅助表!$R$2:$R$9</definedName>
    <definedName name="顶盖">辅助表!$U$2:$U$4</definedName>
    <definedName name="发盖">辅助表!$W$2:$W$6</definedName>
    <definedName name="行李箱盖">辅助表!$V$2:$V$11</definedName>
    <definedName name="后地板分装线">辅助表!$K$2:$K$15</definedName>
    <definedName name="机舱自动线">辅助表!$Q$2:$Q$9</definedName>
    <definedName name="前地板分装线">辅助表!$I$2:$I$8</definedName>
    <definedName name="前围板分装线">辅助表!$J$2:$J$9</definedName>
    <definedName name="前纵梁分装线">辅助表!$L$2:$L$9</definedName>
    <definedName name="涂装外修">辅助表!$AE$2:$AE$3</definedName>
    <definedName name="右侧围分装线">辅助表!$N$2:$N$12</definedName>
    <definedName name="右侧围自动线">辅助表!$P$2:$P$10</definedName>
    <definedName name="右后门">辅助表!$AA$2:$AA$8</definedName>
    <definedName name="右前门">辅助表!$Y$2:$Y$8</definedName>
    <definedName name="装调线">辅助表!$AC$2:$AC$11</definedName>
    <definedName name="总装外修">辅助表!$AF$2:$AF$5</definedName>
    <definedName name="最终线">辅助表!$AD$2:$AD$9</definedName>
    <definedName name="左侧围分装线">辅助表!$M$2:$M$12</definedName>
    <definedName name="左侧围自动线">辅助表!$O$2:$O$10</definedName>
    <definedName name="左后门">辅助表!$Z$2:$Z$8</definedName>
    <definedName name="左前门">辅助表!$X$2:$X$8</definedName>
  </definedNames>
  <calcPr calcId="152511"/>
</workbook>
</file>

<file path=xl/calcChain.xml><?xml version="1.0" encoding="utf-8"?>
<calcChain xmlns="http://schemas.openxmlformats.org/spreadsheetml/2006/main">
  <c r="I209" i="31" l="1"/>
  <c r="H209" i="31"/>
  <c r="G209" i="31"/>
  <c r="I204" i="31"/>
  <c r="H204" i="31"/>
  <c r="G204" i="31"/>
  <c r="I193" i="31"/>
  <c r="H193" i="31"/>
  <c r="G193" i="31"/>
  <c r="I179" i="31"/>
  <c r="H179" i="31"/>
  <c r="G179" i="31"/>
  <c r="I171" i="31"/>
  <c r="H171" i="31"/>
  <c r="G171" i="31"/>
  <c r="I163" i="31"/>
  <c r="H163" i="31"/>
  <c r="G163" i="31"/>
  <c r="I155" i="31"/>
  <c r="H155" i="31"/>
  <c r="G155" i="31"/>
  <c r="I147" i="31"/>
  <c r="H147" i="31"/>
  <c r="G147" i="31"/>
  <c r="I141" i="31"/>
  <c r="H141" i="31"/>
  <c r="G141" i="31"/>
  <c r="I129" i="31"/>
  <c r="H129" i="31"/>
  <c r="G129" i="31"/>
  <c r="I108" i="31"/>
  <c r="H108" i="31"/>
  <c r="G108" i="31"/>
  <c r="I99" i="31"/>
  <c r="H99" i="31"/>
  <c r="G99" i="31"/>
  <c r="G130" i="31" s="1"/>
  <c r="G90" i="31"/>
  <c r="I89" i="31"/>
  <c r="H89" i="31"/>
  <c r="G89" i="31"/>
  <c r="I70" i="31"/>
  <c r="H70" i="31"/>
  <c r="H90" i="31" s="1"/>
  <c r="G70" i="31"/>
  <c r="I46" i="31"/>
  <c r="H46" i="31"/>
  <c r="G46" i="31"/>
  <c r="I37" i="31"/>
  <c r="H37" i="31"/>
  <c r="G37" i="31"/>
  <c r="I22" i="31"/>
  <c r="H22" i="31"/>
  <c r="G22" i="31"/>
  <c r="I13" i="31"/>
  <c r="H13" i="31"/>
  <c r="H47" i="31" s="1"/>
  <c r="G13" i="31"/>
  <c r="E182" i="28"/>
  <c r="E183" i="28" s="1"/>
  <c r="E184" i="28" s="1"/>
  <c r="E180" i="28"/>
  <c r="E172" i="28"/>
  <c r="E173" i="28" s="1"/>
  <c r="E174" i="28" s="1"/>
  <c r="E175" i="28" s="1"/>
  <c r="E176" i="28" s="1"/>
  <c r="E177" i="28" s="1"/>
  <c r="E178" i="28" s="1"/>
  <c r="E162" i="28"/>
  <c r="E163" i="28" s="1"/>
  <c r="E164" i="28" s="1"/>
  <c r="E165" i="28" s="1"/>
  <c r="E166" i="28" s="1"/>
  <c r="E167" i="28" s="1"/>
  <c r="E168" i="28" s="1"/>
  <c r="E169" i="28" s="1"/>
  <c r="E170" i="28" s="1"/>
  <c r="E160" i="28"/>
  <c r="E153" i="28"/>
  <c r="E154" i="28" s="1"/>
  <c r="E155" i="28" s="1"/>
  <c r="E156" i="28" s="1"/>
  <c r="E157" i="28" s="1"/>
  <c r="E158" i="28" s="1"/>
  <c r="E148" i="28"/>
  <c r="E149" i="28" s="1"/>
  <c r="E150" i="28" s="1"/>
  <c r="E151" i="28" s="1"/>
  <c r="E147" i="28"/>
  <c r="E146" i="28"/>
  <c r="E139" i="28"/>
  <c r="E140" i="28" s="1"/>
  <c r="E141" i="28" s="1"/>
  <c r="E142" i="28" s="1"/>
  <c r="E143" i="28" s="1"/>
  <c r="E144" i="28" s="1"/>
  <c r="E132" i="28"/>
  <c r="E133" i="28" s="1"/>
  <c r="E134" i="28" s="1"/>
  <c r="E135" i="28" s="1"/>
  <c r="E136" i="28" s="1"/>
  <c r="E137" i="28" s="1"/>
  <c r="E128" i="28"/>
  <c r="E129" i="28" s="1"/>
  <c r="E130" i="28" s="1"/>
  <c r="E127" i="28"/>
  <c r="E118" i="28"/>
  <c r="E119" i="28" s="1"/>
  <c r="E120" i="28" s="1"/>
  <c r="E121" i="28" s="1"/>
  <c r="E122" i="28" s="1"/>
  <c r="E123" i="28" s="1"/>
  <c r="E124" i="28" s="1"/>
  <c r="E125" i="28" s="1"/>
  <c r="E117" i="28"/>
  <c r="E114" i="28"/>
  <c r="E115" i="28" s="1"/>
  <c r="E108" i="28"/>
  <c r="E109" i="28" s="1"/>
  <c r="E110" i="28" s="1"/>
  <c r="E111" i="28" s="1"/>
  <c r="E112" i="28" s="1"/>
  <c r="E101" i="28"/>
  <c r="E102" i="28" s="1"/>
  <c r="E103" i="28" s="1"/>
  <c r="E104" i="28" s="1"/>
  <c r="E105" i="28" s="1"/>
  <c r="E106" i="28" s="1"/>
  <c r="E97" i="28"/>
  <c r="E98" i="28" s="1"/>
  <c r="E99" i="28" s="1"/>
  <c r="E100" i="28" s="1"/>
  <c r="E90" i="28"/>
  <c r="E91" i="28" s="1"/>
  <c r="E92" i="28" s="1"/>
  <c r="E93" i="28" s="1"/>
  <c r="E94" i="28" s="1"/>
  <c r="E95" i="28" s="1"/>
  <c r="E89" i="28"/>
  <c r="E81" i="28"/>
  <c r="E82" i="28" s="1"/>
  <c r="E83" i="28" s="1"/>
  <c r="E84" i="28" s="1"/>
  <c r="E85" i="28" s="1"/>
  <c r="E86" i="28" s="1"/>
  <c r="E87" i="28" s="1"/>
  <c r="E72" i="28"/>
  <c r="E73" i="28" s="1"/>
  <c r="E74" i="28" s="1"/>
  <c r="E75" i="28" s="1"/>
  <c r="E76" i="28" s="1"/>
  <c r="E77" i="28" s="1"/>
  <c r="E78" i="28" s="1"/>
  <c r="E79" i="28" s="1"/>
  <c r="E65" i="28"/>
  <c r="E66" i="28" s="1"/>
  <c r="E67" i="28" s="1"/>
  <c r="E68" i="28" s="1"/>
  <c r="E69" i="28" s="1"/>
  <c r="E70" i="28" s="1"/>
  <c r="E64" i="28"/>
  <c r="E63" i="28"/>
  <c r="E52" i="28"/>
  <c r="E53" i="28" s="1"/>
  <c r="E54" i="28" s="1"/>
  <c r="E55" i="28" s="1"/>
  <c r="E56" i="28" s="1"/>
  <c r="E57" i="28" s="1"/>
  <c r="E58" i="28" s="1"/>
  <c r="E59" i="28" s="1"/>
  <c r="E60" i="28" s="1"/>
  <c r="E61" i="28" s="1"/>
  <c r="E41" i="28"/>
  <c r="E42" i="28" s="1"/>
  <c r="E43" i="28" s="1"/>
  <c r="E44" i="28" s="1"/>
  <c r="E45" i="28" s="1"/>
  <c r="E46" i="28" s="1"/>
  <c r="E47" i="28" s="1"/>
  <c r="E48" i="28" s="1"/>
  <c r="E49" i="28" s="1"/>
  <c r="E50" i="28" s="1"/>
  <c r="E34" i="28"/>
  <c r="E35" i="28" s="1"/>
  <c r="E36" i="28" s="1"/>
  <c r="E37" i="28" s="1"/>
  <c r="E38" i="28" s="1"/>
  <c r="E39" i="28" s="1"/>
  <c r="E33" i="28"/>
  <c r="AF32" i="28"/>
  <c r="AF21" i="28" a="1"/>
  <c r="AF38" i="28" s="1"/>
  <c r="AF21" i="28"/>
  <c r="AE21" i="28" a="1"/>
  <c r="AE34" i="28" s="1"/>
  <c r="AD21" i="28" a="1"/>
  <c r="AD32" i="28" s="1"/>
  <c r="AC30" i="28"/>
  <c r="AC28" i="28"/>
  <c r="AC24" i="28"/>
  <c r="AC23" i="28"/>
  <c r="AC21" i="28" a="1"/>
  <c r="AC29" i="28" s="1"/>
  <c r="AC21" i="28"/>
  <c r="AB30" i="28"/>
  <c r="AB21" i="28" a="1"/>
  <c r="AB34" i="28" s="1"/>
  <c r="AA33" i="28"/>
  <c r="AA21" i="28" a="1"/>
  <c r="AA36" i="28" s="1"/>
  <c r="Z30" i="28"/>
  <c r="Z21" i="28" a="1"/>
  <c r="Z29" i="28" s="1"/>
  <c r="Y33" i="28"/>
  <c r="Y25" i="28"/>
  <c r="Y21" i="28" a="1"/>
  <c r="Y29" i="28" s="1"/>
  <c r="Y21" i="28"/>
  <c r="X33" i="28"/>
  <c r="X30" i="28"/>
  <c r="X29" i="28"/>
  <c r="X25" i="28"/>
  <c r="X24" i="28"/>
  <c r="X22" i="28"/>
  <c r="X21" i="28" a="1"/>
  <c r="X34" i="28" s="1"/>
  <c r="X21" i="28"/>
  <c r="W30" i="28"/>
  <c r="W25" i="28"/>
  <c r="W21" i="28" a="1"/>
  <c r="W29" i="28" s="1"/>
  <c r="W21" i="28"/>
  <c r="V38" i="28"/>
  <c r="V36" i="28"/>
  <c r="V30" i="28"/>
  <c r="V29" i="28"/>
  <c r="V24" i="28"/>
  <c r="V22" i="28"/>
  <c r="V21" i="28" a="1"/>
  <c r="V33" i="28" s="1"/>
  <c r="V21" i="28"/>
  <c r="U34" i="28"/>
  <c r="U30" i="28"/>
  <c r="U24" i="28"/>
  <c r="U22" i="28"/>
  <c r="U21" i="28" a="1"/>
  <c r="U25" i="28" s="1"/>
  <c r="T35" i="28"/>
  <c r="T30" i="28"/>
  <c r="T25" i="28"/>
  <c r="T21" i="28" a="1"/>
  <c r="T34" i="28" s="1"/>
  <c r="S21" i="28" a="1"/>
  <c r="S25" i="28" s="1"/>
  <c r="R21" i="28" a="1"/>
  <c r="R35" i="28" s="1"/>
  <c r="Q21" i="28" a="1"/>
  <c r="Q29" i="28" s="1"/>
  <c r="P21" i="28" a="1"/>
  <c r="P37" i="28" s="1"/>
  <c r="O28" i="28"/>
  <c r="O24" i="28"/>
  <c r="O21" i="28" a="1"/>
  <c r="O33" i="28" s="1"/>
  <c r="N32" i="28"/>
  <c r="N21" i="28" a="1"/>
  <c r="N37" i="28" s="1"/>
  <c r="N21" i="28"/>
  <c r="M28" i="28"/>
  <c r="M24" i="28"/>
  <c r="M21" i="28" a="1"/>
  <c r="M37" i="28" s="1"/>
  <c r="L32" i="28"/>
  <c r="L21" i="28" a="1"/>
  <c r="L37" i="28" s="1"/>
  <c r="L21" i="28"/>
  <c r="K28" i="28"/>
  <c r="K24" i="28"/>
  <c r="K21" i="28" a="1"/>
  <c r="K37" i="28" s="1"/>
  <c r="J32" i="28"/>
  <c r="J21" i="28" a="1"/>
  <c r="J37" i="28" s="1"/>
  <c r="J21" i="28"/>
  <c r="I31" i="28"/>
  <c r="I30" i="28"/>
  <c r="I23" i="28"/>
  <c r="I22" i="28"/>
  <c r="I21" i="28" a="1"/>
  <c r="I37" i="28" s="1"/>
  <c r="E19" i="28"/>
  <c r="E20" i="28" s="1"/>
  <c r="E21" i="28" s="1"/>
  <c r="E22" i="28" s="1"/>
  <c r="E23" i="28" s="1"/>
  <c r="E24" i="28" s="1"/>
  <c r="E25" i="28" s="1"/>
  <c r="E26" i="28" s="1"/>
  <c r="E27" i="28" s="1"/>
  <c r="E28" i="28" s="1"/>
  <c r="E29" i="28" s="1"/>
  <c r="E30" i="28" s="1"/>
  <c r="E31" i="28" s="1"/>
  <c r="E15" i="28"/>
  <c r="E16" i="28" s="1"/>
  <c r="E17" i="28" s="1"/>
  <c r="E11" i="28"/>
  <c r="E12" i="28" s="1"/>
  <c r="E13" i="28" s="1"/>
  <c r="E14" i="28" s="1"/>
  <c r="E4" i="28"/>
  <c r="E5" i="28" s="1"/>
  <c r="E6" i="28" s="1"/>
  <c r="E7" i="28" s="1"/>
  <c r="E8" i="28" s="1"/>
  <c r="E9" i="28" s="1"/>
  <c r="P226" i="33"/>
  <c r="P225" i="33"/>
  <c r="P224" i="33"/>
  <c r="P223" i="33"/>
  <c r="P222" i="33"/>
  <c r="P221" i="33"/>
  <c r="P220" i="33"/>
  <c r="P219" i="33"/>
  <c r="P218" i="33"/>
  <c r="P217" i="33"/>
  <c r="P216" i="33"/>
  <c r="P215" i="33"/>
  <c r="P214" i="33"/>
  <c r="P213" i="33"/>
  <c r="P212" i="33"/>
  <c r="P130" i="33"/>
  <c r="P129" i="33"/>
  <c r="P128" i="33"/>
  <c r="P127" i="33"/>
  <c r="P126" i="33"/>
  <c r="P125" i="33"/>
  <c r="P124" i="33"/>
  <c r="P123" i="33"/>
  <c r="P122" i="33"/>
  <c r="P121" i="33"/>
  <c r="P120" i="33"/>
  <c r="P119" i="33"/>
  <c r="P118" i="33"/>
  <c r="P117" i="33"/>
  <c r="P116" i="33"/>
  <c r="P115" i="33"/>
  <c r="P114" i="33"/>
  <c r="P113" i="33"/>
  <c r="P112" i="33"/>
  <c r="P111" i="33"/>
  <c r="P110" i="33"/>
  <c r="P109" i="33"/>
  <c r="P108" i="33"/>
  <c r="P107" i="33"/>
  <c r="P106" i="33"/>
  <c r="P105" i="33"/>
  <c r="P104" i="33"/>
  <c r="P103" i="33"/>
  <c r="P102" i="33"/>
  <c r="P101" i="33"/>
  <c r="P100" i="33"/>
  <c r="P99" i="33"/>
  <c r="P98" i="33"/>
  <c r="P97" i="33"/>
  <c r="P96" i="33"/>
  <c r="P95" i="33"/>
  <c r="P94" i="33"/>
  <c r="P93" i="33"/>
  <c r="P92" i="33"/>
  <c r="P91" i="33"/>
  <c r="P90" i="33"/>
  <c r="P89" i="33"/>
  <c r="P88" i="33"/>
  <c r="P87" i="33"/>
  <c r="P86" i="33"/>
  <c r="P85" i="33"/>
  <c r="P84" i="33"/>
  <c r="P83" i="33"/>
  <c r="P82" i="33"/>
  <c r="P81" i="33"/>
  <c r="P80" i="33"/>
  <c r="P79" i="33"/>
  <c r="P78" i="33"/>
  <c r="P77" i="33"/>
  <c r="P76" i="33"/>
  <c r="P75" i="33"/>
  <c r="P74" i="33"/>
  <c r="P73" i="33"/>
  <c r="P72" i="33"/>
  <c r="P71" i="33"/>
  <c r="P70" i="33"/>
  <c r="P69" i="33"/>
  <c r="P68" i="33"/>
  <c r="P67" i="33"/>
  <c r="P66" i="33"/>
  <c r="P65" i="33"/>
  <c r="P64" i="33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P42" i="33"/>
  <c r="P41" i="33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P19" i="33"/>
  <c r="P18" i="33"/>
  <c r="P17" i="33"/>
  <c r="P16" i="33"/>
  <c r="P15" i="33"/>
  <c r="P14" i="33"/>
  <c r="P13" i="33"/>
  <c r="P12" i="33"/>
  <c r="P11" i="33"/>
  <c r="P10" i="33"/>
  <c r="P9" i="33"/>
  <c r="P8" i="33"/>
  <c r="P7" i="33"/>
  <c r="P6" i="33"/>
  <c r="P5" i="33"/>
  <c r="P4" i="33"/>
  <c r="P3" i="33"/>
  <c r="P2" i="33"/>
  <c r="I27" i="28" l="1"/>
  <c r="I35" i="28"/>
  <c r="J28" i="28"/>
  <c r="K36" i="28"/>
  <c r="L28" i="28"/>
  <c r="M36" i="28"/>
  <c r="N28" i="28"/>
  <c r="P21" i="28"/>
  <c r="P32" i="28"/>
  <c r="R21" i="28"/>
  <c r="R24" i="28"/>
  <c r="R30" i="28"/>
  <c r="S21" i="28"/>
  <c r="S29" i="28"/>
  <c r="U29" i="28"/>
  <c r="V28" i="28"/>
  <c r="V34" i="28"/>
  <c r="X28" i="28"/>
  <c r="Y24" i="28"/>
  <c r="Y30" i="28"/>
  <c r="Z25" i="28"/>
  <c r="AA28" i="28"/>
  <c r="AB25" i="28"/>
  <c r="AC22" i="28"/>
  <c r="AC27" i="28"/>
  <c r="AC32" i="28"/>
  <c r="AD26" i="28"/>
  <c r="AE21" i="28"/>
  <c r="AE32" i="28"/>
  <c r="AF28" i="28"/>
  <c r="H130" i="31"/>
  <c r="P36" i="28"/>
  <c r="R26" i="28"/>
  <c r="R31" i="28"/>
  <c r="S30" i="28"/>
  <c r="AD27" i="28"/>
  <c r="J36" i="28"/>
  <c r="L36" i="28"/>
  <c r="N36" i="28"/>
  <c r="P24" i="28"/>
  <c r="R22" i="28"/>
  <c r="R27" i="28"/>
  <c r="R32" i="28"/>
  <c r="S24" i="28"/>
  <c r="S34" i="28"/>
  <c r="Y28" i="28"/>
  <c r="Y34" i="28"/>
  <c r="AA38" i="28"/>
  <c r="AD22" i="28"/>
  <c r="AD30" i="28"/>
  <c r="AE24" i="28"/>
  <c r="AF36" i="28"/>
  <c r="I90" i="31"/>
  <c r="H180" i="31"/>
  <c r="I26" i="28"/>
  <c r="I34" i="28"/>
  <c r="J24" i="28"/>
  <c r="K21" i="28"/>
  <c r="K32" i="28"/>
  <c r="L24" i="28"/>
  <c r="M21" i="28"/>
  <c r="M32" i="28"/>
  <c r="N24" i="28"/>
  <c r="O21" i="28"/>
  <c r="O32" i="28"/>
  <c r="P28" i="28"/>
  <c r="Q33" i="28"/>
  <c r="R23" i="28"/>
  <c r="R28" i="28"/>
  <c r="R34" i="28"/>
  <c r="U21" i="28"/>
  <c r="V25" i="28"/>
  <c r="Y22" i="28"/>
  <c r="AA22" i="28"/>
  <c r="AC26" i="28"/>
  <c r="AC31" i="28"/>
  <c r="AD23" i="28"/>
  <c r="AD31" i="28"/>
  <c r="AE28" i="28"/>
  <c r="AF24" i="28"/>
  <c r="AF40" i="28"/>
  <c r="G47" i="31"/>
  <c r="I180" i="31"/>
  <c r="G210" i="31"/>
  <c r="Q25" i="28"/>
  <c r="Q38" i="28"/>
  <c r="Q34" i="28"/>
  <c r="Q30" i="28"/>
  <c r="Q26" i="28"/>
  <c r="Q22" i="28"/>
  <c r="Q36" i="28"/>
  <c r="Q32" i="28"/>
  <c r="Q28" i="28"/>
  <c r="Q24" i="28"/>
  <c r="Q21" i="28"/>
  <c r="Q35" i="28"/>
  <c r="Q31" i="28"/>
  <c r="Q27" i="28"/>
  <c r="Q23" i="28"/>
  <c r="Q37" i="28"/>
  <c r="I21" i="28"/>
  <c r="I24" i="28"/>
  <c r="I28" i="28"/>
  <c r="I32" i="28"/>
  <c r="I36" i="28"/>
  <c r="J22" i="28"/>
  <c r="J26" i="28"/>
  <c r="J30" i="28"/>
  <c r="J34" i="28"/>
  <c r="J38" i="28"/>
  <c r="K22" i="28"/>
  <c r="K26" i="28"/>
  <c r="K30" i="28"/>
  <c r="K34" i="28"/>
  <c r="K38" i="28"/>
  <c r="L22" i="28"/>
  <c r="L26" i="28"/>
  <c r="L30" i="28"/>
  <c r="L34" i="28"/>
  <c r="L38" i="28"/>
  <c r="M22" i="28"/>
  <c r="M26" i="28"/>
  <c r="M30" i="28"/>
  <c r="M34" i="28"/>
  <c r="M38" i="28"/>
  <c r="N22" i="28"/>
  <c r="N26" i="28"/>
  <c r="N30" i="28"/>
  <c r="N34" i="28"/>
  <c r="N38" i="28"/>
  <c r="O22" i="28"/>
  <c r="O26" i="28"/>
  <c r="O30" i="28"/>
  <c r="O34" i="28"/>
  <c r="P22" i="28"/>
  <c r="P26" i="28"/>
  <c r="P30" i="28"/>
  <c r="P34" i="28"/>
  <c r="P38" i="28"/>
  <c r="S31" i="28"/>
  <c r="S27" i="28"/>
  <c r="S23" i="28"/>
  <c r="S26" i="28"/>
  <c r="S32" i="28"/>
  <c r="T22" i="28"/>
  <c r="T27" i="28"/>
  <c r="T33" i="28"/>
  <c r="U35" i="28"/>
  <c r="U31" i="28"/>
  <c r="U27" i="28"/>
  <c r="U23" i="28"/>
  <c r="U26" i="28"/>
  <c r="U32" i="28"/>
  <c r="V39" i="28"/>
  <c r="V35" i="28"/>
  <c r="V31" i="28"/>
  <c r="V27" i="28"/>
  <c r="V23" i="28"/>
  <c r="V26" i="28"/>
  <c r="V32" i="28"/>
  <c r="V37" i="28"/>
  <c r="W22" i="28"/>
  <c r="W28" i="28"/>
  <c r="X35" i="28"/>
  <c r="X31" i="28"/>
  <c r="X27" i="28"/>
  <c r="X23" i="28"/>
  <c r="X26" i="28"/>
  <c r="X32" i="28"/>
  <c r="Y31" i="28"/>
  <c r="Y27" i="28"/>
  <c r="Y23" i="28"/>
  <c r="Y26" i="28"/>
  <c r="Y32" i="28"/>
  <c r="Z22" i="28"/>
  <c r="Z27" i="28"/>
  <c r="AA21" i="28"/>
  <c r="AA25" i="28"/>
  <c r="AA30" i="28"/>
  <c r="AB22" i="28"/>
  <c r="AB27" i="28"/>
  <c r="AB33" i="28"/>
  <c r="I47" i="31"/>
  <c r="I130" i="31"/>
  <c r="G180" i="31"/>
  <c r="G211" i="31" s="1"/>
  <c r="I210" i="31"/>
  <c r="I25" i="28"/>
  <c r="I29" i="28"/>
  <c r="I33" i="28"/>
  <c r="J23" i="28"/>
  <c r="J27" i="28"/>
  <c r="J31" i="28"/>
  <c r="J35" i="28"/>
  <c r="J39" i="28"/>
  <c r="K23" i="28"/>
  <c r="K27" i="28"/>
  <c r="K31" i="28"/>
  <c r="K35" i="28"/>
  <c r="K39" i="28"/>
  <c r="L23" i="28"/>
  <c r="L27" i="28"/>
  <c r="L31" i="28"/>
  <c r="L35" i="28"/>
  <c r="L39" i="28"/>
  <c r="M23" i="28"/>
  <c r="M27" i="28"/>
  <c r="M31" i="28"/>
  <c r="M35" i="28"/>
  <c r="M39" i="28"/>
  <c r="N23" i="28"/>
  <c r="N27" i="28"/>
  <c r="N31" i="28"/>
  <c r="N35" i="28"/>
  <c r="N39" i="28"/>
  <c r="O23" i="28"/>
  <c r="O27" i="28"/>
  <c r="O31" i="28"/>
  <c r="O35" i="28"/>
  <c r="P23" i="28"/>
  <c r="P27" i="28"/>
  <c r="P31" i="28"/>
  <c r="P35" i="28"/>
  <c r="R25" i="28"/>
  <c r="R29" i="28"/>
  <c r="R33" i="28"/>
  <c r="S22" i="28"/>
  <c r="S28" i="28"/>
  <c r="S33" i="28"/>
  <c r="T23" i="28"/>
  <c r="T29" i="28"/>
  <c r="U28" i="28"/>
  <c r="U33" i="28"/>
  <c r="W24" i="28"/>
  <c r="Z23" i="28"/>
  <c r="AA35" i="28"/>
  <c r="AA31" i="28"/>
  <c r="AA27" i="28"/>
  <c r="AA23" i="28"/>
  <c r="AA26" i="28"/>
  <c r="AA32" i="28"/>
  <c r="AA37" i="28"/>
  <c r="AB23" i="28"/>
  <c r="AB29" i="28"/>
  <c r="J25" i="28"/>
  <c r="J29" i="28"/>
  <c r="J33" i="28"/>
  <c r="K25" i="28"/>
  <c r="K29" i="28"/>
  <c r="K33" i="28"/>
  <c r="L25" i="28"/>
  <c r="L29" i="28"/>
  <c r="L33" i="28"/>
  <c r="M25" i="28"/>
  <c r="M29" i="28"/>
  <c r="M33" i="28"/>
  <c r="N25" i="28"/>
  <c r="N29" i="28"/>
  <c r="N33" i="28"/>
  <c r="O25" i="28"/>
  <c r="O29" i="28"/>
  <c r="P25" i="28"/>
  <c r="P29" i="28"/>
  <c r="P33" i="28"/>
  <c r="T36" i="28"/>
  <c r="T32" i="28"/>
  <c r="T28" i="28"/>
  <c r="T24" i="28"/>
  <c r="T21" i="28"/>
  <c r="T26" i="28"/>
  <c r="T31" i="28"/>
  <c r="W31" i="28"/>
  <c r="W27" i="28"/>
  <c r="W23" i="28"/>
  <c r="W26" i="28"/>
  <c r="Z32" i="28"/>
  <c r="Z28" i="28"/>
  <c r="Z24" i="28"/>
  <c r="Z21" i="28"/>
  <c r="Z26" i="28"/>
  <c r="Z31" i="28"/>
  <c r="AA24" i="28"/>
  <c r="AA29" i="28"/>
  <c r="AA34" i="28"/>
  <c r="AB32" i="28"/>
  <c r="AB28" i="28"/>
  <c r="AB24" i="28"/>
  <c r="AB21" i="28"/>
  <c r="AB26" i="28"/>
  <c r="AB31" i="28"/>
  <c r="H210" i="31"/>
  <c r="AD25" i="28"/>
  <c r="AD29" i="28"/>
  <c r="AD33" i="28"/>
  <c r="AE23" i="28"/>
  <c r="AE27" i="28"/>
  <c r="AE31" i="28"/>
  <c r="AE35" i="28"/>
  <c r="AF23" i="28"/>
  <c r="AF27" i="28"/>
  <c r="AF31" i="28"/>
  <c r="AF35" i="28"/>
  <c r="AF39" i="28"/>
  <c r="AE25" i="28"/>
  <c r="AE29" i="28"/>
  <c r="AE33" i="28"/>
  <c r="AF25" i="28"/>
  <c r="AF29" i="28"/>
  <c r="AF33" i="28"/>
  <c r="AF37" i="28"/>
  <c r="AC25" i="28"/>
  <c r="AD21" i="28"/>
  <c r="AD24" i="28"/>
  <c r="AD28" i="28"/>
  <c r="AE22" i="28"/>
  <c r="AE26" i="28"/>
  <c r="AE30" i="28"/>
  <c r="AF22" i="28"/>
  <c r="AF26" i="28"/>
  <c r="AF30" i="28"/>
  <c r="AF34" i="28"/>
  <c r="H211" i="31" l="1"/>
  <c r="I211" i="31"/>
</calcChain>
</file>

<file path=xl/sharedStrings.xml><?xml version="1.0" encoding="utf-8"?>
<sst xmlns="http://schemas.openxmlformats.org/spreadsheetml/2006/main" count="5040" uniqueCount="1470">
  <si>
    <t>管理人</t>
  </si>
  <si>
    <t>C62X焊装工位清单</t>
    <phoneticPr fontId="11" type="noConversion"/>
  </si>
  <si>
    <t>生产线</t>
    <phoneticPr fontId="11" type="noConversion"/>
  </si>
  <si>
    <t>工位号</t>
    <phoneticPr fontId="11" type="noConversion"/>
  </si>
  <si>
    <t>前地板分装线</t>
    <phoneticPr fontId="8" type="noConversion"/>
  </si>
  <si>
    <t>W1FF4-010</t>
  </si>
  <si>
    <t>W1FF4-020</t>
  </si>
  <si>
    <t>W1FF4-030</t>
  </si>
  <si>
    <t>W1FF4-040</t>
  </si>
  <si>
    <t>W1FF4-050</t>
  </si>
  <si>
    <t>W1FF4-060</t>
  </si>
  <si>
    <t>W1FF4-070</t>
  </si>
  <si>
    <t>前围板分装线</t>
    <phoneticPr fontId="8" type="noConversion"/>
  </si>
  <si>
    <t>W1DA4-060</t>
  </si>
  <si>
    <t>W1DA4-050</t>
  </si>
  <si>
    <t>W1DA4-040</t>
  </si>
  <si>
    <t>W1DA4-030</t>
  </si>
  <si>
    <t>W1DA4-020</t>
  </si>
  <si>
    <t>W1DA4-010</t>
    <phoneticPr fontId="9" type="noConversion"/>
  </si>
  <si>
    <t>W1HP4-010</t>
    <phoneticPr fontId="9" type="noConversion"/>
  </si>
  <si>
    <t>W1HP4-020</t>
    <phoneticPr fontId="9" type="noConversion"/>
  </si>
  <si>
    <t>后地板分装线</t>
    <phoneticPr fontId="8" type="noConversion"/>
  </si>
  <si>
    <t>W1RF4-100</t>
  </si>
  <si>
    <t>W1RF4-090</t>
  </si>
  <si>
    <t>W1RF4-080</t>
  </si>
  <si>
    <t>W1RF4-070</t>
  </si>
  <si>
    <t>W1RF4-060</t>
  </si>
  <si>
    <t>W1RF4-050</t>
  </si>
  <si>
    <t>W1RF4-040</t>
  </si>
  <si>
    <t>W1RF4-030</t>
  </si>
  <si>
    <t>后地板3#</t>
  </si>
  <si>
    <t>W1RF4-020</t>
  </si>
  <si>
    <t>后地板2#</t>
  </si>
  <si>
    <t>W1RF4-010</t>
  </si>
  <si>
    <t>后地板1#</t>
  </si>
  <si>
    <t>W1RR4-010L</t>
    <phoneticPr fontId="9" type="noConversion"/>
  </si>
  <si>
    <t>W1RR4-020L</t>
    <phoneticPr fontId="9" type="noConversion"/>
  </si>
  <si>
    <t>W1RR4-010R</t>
    <phoneticPr fontId="9" type="noConversion"/>
  </si>
  <si>
    <t>W1RR4-020R</t>
    <phoneticPr fontId="9" type="noConversion"/>
  </si>
  <si>
    <t>前纵梁分装线</t>
    <phoneticPr fontId="9" type="noConversion"/>
  </si>
  <si>
    <t>W1FU4-040R</t>
  </si>
  <si>
    <t>W1FU4-030R</t>
  </si>
  <si>
    <t>W1FU4-020R</t>
  </si>
  <si>
    <t>W1FU4-010R</t>
  </si>
  <si>
    <t>W1FU4-040L</t>
  </si>
  <si>
    <t>W1FU4-030L</t>
  </si>
  <si>
    <t>W1FU4-020L</t>
  </si>
  <si>
    <t>W1FU4-010L</t>
  </si>
  <si>
    <t>侧围分装线</t>
    <phoneticPr fontId="8" type="noConversion"/>
  </si>
  <si>
    <t>W1BSI4010-L</t>
    <phoneticPr fontId="8" type="noConversion"/>
  </si>
  <si>
    <t>后轮罩外板总成-左</t>
  </si>
  <si>
    <t>W1BSI4020-L</t>
  </si>
  <si>
    <t>W1BSI4030-L</t>
  </si>
  <si>
    <t>C柱内板总成-左</t>
  </si>
  <si>
    <t>W1BSI4040-L</t>
  </si>
  <si>
    <t>W1BSI4110-L</t>
    <phoneticPr fontId="9" type="noConversion"/>
  </si>
  <si>
    <t>W1BSI4050-L</t>
  </si>
  <si>
    <t>后侧围内板总成合件-左</t>
  </si>
  <si>
    <t>W1BSI4060-L</t>
  </si>
  <si>
    <t>后侧围内板总成-左</t>
  </si>
  <si>
    <t>W1BSI4070-L</t>
  </si>
  <si>
    <t>W1BSI4080-L</t>
  </si>
  <si>
    <t>W1BSI4090-L</t>
  </si>
  <si>
    <t>W1BSI4100-L</t>
    <phoneticPr fontId="8" type="noConversion"/>
  </si>
  <si>
    <t>W1BSI4010-R</t>
  </si>
  <si>
    <t>W1BSI4020-R</t>
  </si>
  <si>
    <t>W1BSI4030-R</t>
  </si>
  <si>
    <t>W1BSI4040-R</t>
  </si>
  <si>
    <t>W1BSI4110-R</t>
  </si>
  <si>
    <t>尾灯盒总成-右</t>
  </si>
  <si>
    <t>W1BSI4050-R</t>
  </si>
  <si>
    <t>后侧围内板总成合件-右</t>
  </si>
  <si>
    <t>W1BSI4060-R</t>
  </si>
  <si>
    <t>后侧围内板总成-右</t>
  </si>
  <si>
    <t>W1BSI4070-R</t>
  </si>
  <si>
    <t>W1BSI4080-R</t>
  </si>
  <si>
    <t>后侧围内板分总成-右</t>
  </si>
  <si>
    <t>W1BSI4090-R</t>
  </si>
  <si>
    <t>W1BSI4100-R</t>
  </si>
  <si>
    <t>侧围自动线</t>
    <phoneticPr fontId="11" type="noConversion"/>
  </si>
  <si>
    <t>W1BS010L</t>
    <phoneticPr fontId="11" type="noConversion"/>
  </si>
  <si>
    <t>W1BS020L</t>
    <phoneticPr fontId="11" type="noConversion"/>
  </si>
  <si>
    <t>W1BS030L</t>
    <phoneticPr fontId="11" type="noConversion"/>
  </si>
  <si>
    <t>W1BS040L</t>
    <phoneticPr fontId="11" type="noConversion"/>
  </si>
  <si>
    <t>W1BS050L</t>
    <phoneticPr fontId="11" type="noConversion"/>
  </si>
  <si>
    <t>W1BS060L</t>
    <phoneticPr fontId="11" type="noConversion"/>
  </si>
  <si>
    <t>W1BS070L</t>
    <phoneticPr fontId="11" type="noConversion"/>
  </si>
  <si>
    <t>侧围总成-左/右补焊工位</t>
  </si>
  <si>
    <t>W1BS080L</t>
    <phoneticPr fontId="11" type="noConversion"/>
  </si>
  <si>
    <t>侧围总成-左/右转运工位</t>
  </si>
  <si>
    <t>W1BS090L</t>
    <phoneticPr fontId="11" type="noConversion"/>
  </si>
  <si>
    <t>侧围总成-左/右下线工位</t>
  </si>
  <si>
    <t>W1BS010R</t>
    <phoneticPr fontId="11" type="noConversion"/>
  </si>
  <si>
    <t>侧围外板-左/右对中工位</t>
  </si>
  <si>
    <t>W1BS020R</t>
    <phoneticPr fontId="11" type="noConversion"/>
  </si>
  <si>
    <t>侧围外板-左/右上件工位</t>
  </si>
  <si>
    <t>W1BS030R</t>
    <phoneticPr fontId="11" type="noConversion"/>
  </si>
  <si>
    <t>侧围外板总成-左/右上件工位</t>
  </si>
  <si>
    <t>W1BS040R</t>
    <phoneticPr fontId="11" type="noConversion"/>
  </si>
  <si>
    <t>W1BS050R</t>
    <phoneticPr fontId="11" type="noConversion"/>
  </si>
  <si>
    <t>W1BS060R</t>
    <phoneticPr fontId="11" type="noConversion"/>
  </si>
  <si>
    <t>W1BS070R</t>
    <phoneticPr fontId="11" type="noConversion"/>
  </si>
  <si>
    <t>W1BS080R</t>
    <phoneticPr fontId="11" type="noConversion"/>
  </si>
  <si>
    <t>W1BS090R</t>
    <phoneticPr fontId="11" type="noConversion"/>
  </si>
  <si>
    <t>机舱自动线</t>
    <phoneticPr fontId="8" type="noConversion"/>
  </si>
  <si>
    <t>W1ER3-010</t>
    <phoneticPr fontId="11" type="noConversion"/>
  </si>
  <si>
    <t>W1ER3-020</t>
    <phoneticPr fontId="11" type="noConversion"/>
  </si>
  <si>
    <t>W1ER3-030</t>
    <phoneticPr fontId="11" type="noConversion"/>
  </si>
  <si>
    <t>W1ER3-040</t>
    <phoneticPr fontId="11" type="noConversion"/>
  </si>
  <si>
    <t>W1ER3-050</t>
    <phoneticPr fontId="11" type="noConversion"/>
  </si>
  <si>
    <t>W1ER3-060</t>
    <phoneticPr fontId="11" type="noConversion"/>
  </si>
  <si>
    <t>W1ER3-070</t>
    <phoneticPr fontId="11" type="noConversion"/>
  </si>
  <si>
    <t>W1ER3-080</t>
    <phoneticPr fontId="11" type="noConversion"/>
  </si>
  <si>
    <t>UB线</t>
    <phoneticPr fontId="9" type="noConversion"/>
  </si>
  <si>
    <t>W1UB3-03</t>
    <phoneticPr fontId="11" type="noConversion"/>
  </si>
  <si>
    <t>W1UB3-04</t>
    <phoneticPr fontId="11" type="noConversion"/>
  </si>
  <si>
    <t>W1UB3-05</t>
    <phoneticPr fontId="11" type="noConversion"/>
  </si>
  <si>
    <t>W1UB3-07</t>
    <phoneticPr fontId="11" type="noConversion"/>
  </si>
  <si>
    <t>W1UB3-08</t>
    <phoneticPr fontId="11" type="noConversion"/>
  </si>
  <si>
    <t>W1UB3-09</t>
    <phoneticPr fontId="11" type="noConversion"/>
  </si>
  <si>
    <t>W1UB3-10</t>
  </si>
  <si>
    <t>MB线</t>
    <phoneticPr fontId="8" type="noConversion"/>
  </si>
  <si>
    <t>W1MB02</t>
    <phoneticPr fontId="8" type="noConversion"/>
  </si>
  <si>
    <t>W1MB03</t>
    <phoneticPr fontId="8" type="noConversion"/>
  </si>
  <si>
    <t>W1MB11</t>
    <phoneticPr fontId="8" type="noConversion"/>
  </si>
  <si>
    <t>W1MB12</t>
    <phoneticPr fontId="11" type="noConversion"/>
  </si>
  <si>
    <t>W1MB14</t>
    <phoneticPr fontId="11" type="noConversion"/>
  </si>
  <si>
    <t>总拼工位</t>
  </si>
  <si>
    <t>W1MB16</t>
    <phoneticPr fontId="11" type="noConversion"/>
  </si>
  <si>
    <t>W1MB18</t>
    <phoneticPr fontId="11" type="noConversion"/>
  </si>
  <si>
    <t>W1MB19</t>
    <phoneticPr fontId="11" type="noConversion"/>
  </si>
  <si>
    <t>W1MB20</t>
    <phoneticPr fontId="11" type="noConversion"/>
  </si>
  <si>
    <t>涂胶工位</t>
  </si>
  <si>
    <t>W1MB21</t>
    <phoneticPr fontId="11" type="noConversion"/>
  </si>
  <si>
    <t>顶盖安装工位</t>
  </si>
  <si>
    <t>W1MB22</t>
    <phoneticPr fontId="11" type="noConversion"/>
  </si>
  <si>
    <t>W1MB25</t>
    <phoneticPr fontId="11" type="noConversion"/>
  </si>
  <si>
    <t>侧围连接板上件工位</t>
  </si>
  <si>
    <t>W1MB26</t>
    <phoneticPr fontId="11" type="noConversion"/>
  </si>
  <si>
    <t>机器人补焊工位</t>
  </si>
  <si>
    <t>W1MB27</t>
    <phoneticPr fontId="11" type="noConversion"/>
  </si>
  <si>
    <t>W1MB28</t>
    <phoneticPr fontId="11" type="noConversion"/>
  </si>
  <si>
    <t>机器人CO2工位</t>
  </si>
  <si>
    <t>W1MB29</t>
    <phoneticPr fontId="11" type="noConversion"/>
  </si>
  <si>
    <t>铰链安装工位</t>
  </si>
  <si>
    <t>W1FL010</t>
    <phoneticPr fontId="9" type="noConversion"/>
  </si>
  <si>
    <t>顶盖</t>
    <phoneticPr fontId="9" type="noConversion"/>
  </si>
  <si>
    <t>W1RF010</t>
    <phoneticPr fontId="11" type="noConversion"/>
  </si>
  <si>
    <t>W1RF020</t>
    <phoneticPr fontId="11" type="noConversion"/>
  </si>
  <si>
    <t>W1RF030</t>
    <phoneticPr fontId="11" type="noConversion"/>
  </si>
  <si>
    <t>行李箱盖</t>
    <phoneticPr fontId="8" type="noConversion"/>
  </si>
  <si>
    <t>W1BD1010</t>
    <phoneticPr fontId="11" type="noConversion"/>
  </si>
  <si>
    <t>W1BD1020</t>
    <phoneticPr fontId="11" type="noConversion"/>
  </si>
  <si>
    <t>W1BD1025</t>
    <phoneticPr fontId="11" type="noConversion"/>
  </si>
  <si>
    <t>W1BD1030</t>
    <phoneticPr fontId="11" type="noConversion"/>
  </si>
  <si>
    <t>W1BD1035</t>
    <phoneticPr fontId="11" type="noConversion"/>
  </si>
  <si>
    <t>W1BD040</t>
    <phoneticPr fontId="11" type="noConversion"/>
  </si>
  <si>
    <t>W1BD050</t>
    <phoneticPr fontId="11" type="noConversion"/>
  </si>
  <si>
    <t>W1BD060</t>
    <phoneticPr fontId="11" type="noConversion"/>
  </si>
  <si>
    <t>W1BD065</t>
    <phoneticPr fontId="11" type="noConversion"/>
  </si>
  <si>
    <t>W1BD070</t>
    <phoneticPr fontId="11" type="noConversion"/>
  </si>
  <si>
    <t>发盖</t>
    <phoneticPr fontId="9" type="noConversion"/>
  </si>
  <si>
    <t>W1HD010</t>
    <phoneticPr fontId="11" type="noConversion"/>
  </si>
  <si>
    <t>W1HD015</t>
    <phoneticPr fontId="11" type="noConversion"/>
  </si>
  <si>
    <t>W1HD020</t>
    <phoneticPr fontId="11" type="noConversion"/>
  </si>
  <si>
    <t>W1HD030</t>
    <phoneticPr fontId="11" type="noConversion"/>
  </si>
  <si>
    <t>W1HD040</t>
    <phoneticPr fontId="11" type="noConversion"/>
  </si>
  <si>
    <t>左前门</t>
    <phoneticPr fontId="9" type="noConversion"/>
  </si>
  <si>
    <t>W1FD1-010L</t>
  </si>
  <si>
    <t>左前门内板分总成点定</t>
  </si>
  <si>
    <t>W1FD1-020L</t>
  </si>
  <si>
    <t>左前门内板分总成补焊</t>
  </si>
  <si>
    <t>W1FD1-030L</t>
  </si>
  <si>
    <t>左前门内板总成</t>
  </si>
  <si>
    <t>W1FD2-040L</t>
  </si>
  <si>
    <t>左前门内外板上件、涂胶</t>
  </si>
  <si>
    <t>W1FD2-050L</t>
    <phoneticPr fontId="11" type="noConversion"/>
  </si>
  <si>
    <t>W1FD2-060L</t>
    <phoneticPr fontId="11" type="noConversion"/>
  </si>
  <si>
    <t>W1FD2-070L</t>
    <phoneticPr fontId="11" type="noConversion"/>
  </si>
  <si>
    <t>右前门</t>
    <phoneticPr fontId="9" type="noConversion"/>
  </si>
  <si>
    <t>W1FD1-010R</t>
    <phoneticPr fontId="9" type="noConversion"/>
  </si>
  <si>
    <t>右前门内板分总成点定</t>
  </si>
  <si>
    <t>W1FD1-020R</t>
    <phoneticPr fontId="9" type="noConversion"/>
  </si>
  <si>
    <t>右前门内板分总成补焊</t>
  </si>
  <si>
    <t>W1FD1-030R</t>
    <phoneticPr fontId="9" type="noConversion"/>
  </si>
  <si>
    <t>右前门内板总成</t>
  </si>
  <si>
    <t>W1FD2-040R</t>
    <phoneticPr fontId="9" type="noConversion"/>
  </si>
  <si>
    <t>右前门内外板上件、涂胶</t>
  </si>
  <si>
    <t>W1FD2-050R</t>
    <phoneticPr fontId="11" type="noConversion"/>
  </si>
  <si>
    <t>W1FD2-060R</t>
    <phoneticPr fontId="11" type="noConversion"/>
  </si>
  <si>
    <t>W1FD2-070R</t>
    <phoneticPr fontId="11" type="noConversion"/>
  </si>
  <si>
    <t>左后门</t>
    <phoneticPr fontId="9" type="noConversion"/>
  </si>
  <si>
    <t>W1RD1-010L</t>
  </si>
  <si>
    <t>左后门内板分总成点定</t>
  </si>
  <si>
    <t>W1RD1-015L</t>
  </si>
  <si>
    <t>左后门内板分总成补焊</t>
  </si>
  <si>
    <t>W1RD1-020L</t>
  </si>
  <si>
    <t>左后门内板总成</t>
  </si>
  <si>
    <t>W1RD2-030L</t>
    <phoneticPr fontId="9" type="noConversion"/>
  </si>
  <si>
    <t>W1RD2-040L</t>
    <phoneticPr fontId="9" type="noConversion"/>
  </si>
  <si>
    <t>W1RD2-050L</t>
    <phoneticPr fontId="9" type="noConversion"/>
  </si>
  <si>
    <t>W1RD2-060L</t>
    <phoneticPr fontId="9" type="noConversion"/>
  </si>
  <si>
    <t>右后门</t>
    <phoneticPr fontId="9" type="noConversion"/>
  </si>
  <si>
    <t>W1RD1-010R</t>
    <phoneticPr fontId="9" type="noConversion"/>
  </si>
  <si>
    <t>W1RD1-015R</t>
    <phoneticPr fontId="9" type="noConversion"/>
  </si>
  <si>
    <t>W1RD1-020R</t>
    <phoneticPr fontId="9" type="noConversion"/>
  </si>
  <si>
    <t>W1RD2-030R</t>
    <phoneticPr fontId="9" type="noConversion"/>
  </si>
  <si>
    <t>W1RD2-040R</t>
    <phoneticPr fontId="9" type="noConversion"/>
  </si>
  <si>
    <t>W1RD2-050R</t>
    <phoneticPr fontId="9" type="noConversion"/>
  </si>
  <si>
    <t>W1RD2-060R</t>
    <phoneticPr fontId="9" type="noConversion"/>
  </si>
  <si>
    <t>CO2焊房</t>
    <phoneticPr fontId="8" type="noConversion"/>
  </si>
  <si>
    <t>W1FL020</t>
    <phoneticPr fontId="11" type="noConversion"/>
  </si>
  <si>
    <t>CO2焊房</t>
    <phoneticPr fontId="9" type="noConversion"/>
  </si>
  <si>
    <t>W1FL030</t>
    <phoneticPr fontId="11" type="noConversion"/>
  </si>
  <si>
    <t>装调线</t>
    <phoneticPr fontId="9" type="noConversion"/>
  </si>
  <si>
    <t>W1FL-070</t>
    <phoneticPr fontId="11" type="noConversion"/>
  </si>
  <si>
    <t>W1FL-080</t>
    <phoneticPr fontId="11" type="noConversion"/>
  </si>
  <si>
    <t>W1FL-090</t>
    <phoneticPr fontId="11" type="noConversion"/>
  </si>
  <si>
    <t>W1FL-100</t>
    <phoneticPr fontId="11" type="noConversion"/>
  </si>
  <si>
    <t>W1FL-110</t>
    <phoneticPr fontId="11" type="noConversion"/>
  </si>
  <si>
    <t>W1FL-120</t>
    <phoneticPr fontId="11" type="noConversion"/>
  </si>
  <si>
    <t>W1FL-130</t>
    <phoneticPr fontId="11" type="noConversion"/>
  </si>
  <si>
    <t>W1FL-140</t>
    <phoneticPr fontId="11" type="noConversion"/>
  </si>
  <si>
    <t>W1FL-150</t>
    <phoneticPr fontId="11" type="noConversion"/>
  </si>
  <si>
    <t>最终线</t>
    <phoneticPr fontId="9" type="noConversion"/>
  </si>
  <si>
    <t>W1FL-210</t>
    <phoneticPr fontId="11" type="noConversion"/>
  </si>
  <si>
    <t>W1FL-220</t>
    <phoneticPr fontId="11" type="noConversion"/>
  </si>
  <si>
    <t>W1FL-230</t>
    <phoneticPr fontId="11" type="noConversion"/>
  </si>
  <si>
    <t>W1FL-240</t>
    <phoneticPr fontId="11" type="noConversion"/>
  </si>
  <si>
    <t>W1FL-250</t>
    <phoneticPr fontId="11" type="noConversion"/>
  </si>
  <si>
    <t>W1FL-270</t>
    <phoneticPr fontId="11" type="noConversion"/>
  </si>
  <si>
    <t>W1FL-280</t>
    <phoneticPr fontId="11" type="noConversion"/>
  </si>
  <si>
    <t>W1FL-310</t>
    <phoneticPr fontId="11" type="noConversion"/>
  </si>
  <si>
    <t>W1FL-320</t>
    <phoneticPr fontId="11" type="noConversion"/>
  </si>
  <si>
    <t>车型：C62X</t>
    <phoneticPr fontId="11" type="noConversion"/>
  </si>
  <si>
    <t>序号</t>
    <phoneticPr fontId="11" type="noConversion"/>
  </si>
  <si>
    <t>工位名称</t>
    <phoneticPr fontId="11" type="noConversion"/>
  </si>
  <si>
    <t>前地板1#</t>
    <phoneticPr fontId="11" type="noConversion"/>
  </si>
  <si>
    <t>前地板2#</t>
    <phoneticPr fontId="11" type="noConversion"/>
  </si>
  <si>
    <t>前地板3#</t>
  </si>
  <si>
    <t>前地板4#</t>
  </si>
  <si>
    <t>前地板5#</t>
  </si>
  <si>
    <t>前地板6#</t>
  </si>
  <si>
    <t>前地板7#</t>
  </si>
  <si>
    <t>前围板6#</t>
    <phoneticPr fontId="11" type="noConversion"/>
  </si>
  <si>
    <t>前围板5#</t>
    <phoneticPr fontId="11" type="noConversion"/>
  </si>
  <si>
    <t>前围板4#</t>
    <phoneticPr fontId="11" type="noConversion"/>
  </si>
  <si>
    <t>前围板3#</t>
    <phoneticPr fontId="11" type="noConversion"/>
  </si>
  <si>
    <t>前围板2#</t>
    <phoneticPr fontId="11" type="noConversion"/>
  </si>
  <si>
    <t>W1DA4-010</t>
    <phoneticPr fontId="9" type="noConversion"/>
  </si>
  <si>
    <t>前围板1#</t>
  </si>
  <si>
    <t>空气室1#</t>
    <phoneticPr fontId="9" type="noConversion"/>
  </si>
  <si>
    <t>空气室2#</t>
    <phoneticPr fontId="9" type="noConversion"/>
  </si>
  <si>
    <t>后地板10#</t>
    <phoneticPr fontId="11" type="noConversion"/>
  </si>
  <si>
    <t>后地板9#</t>
    <phoneticPr fontId="11" type="noConversion"/>
  </si>
  <si>
    <t>后地板8#</t>
    <phoneticPr fontId="11" type="noConversion"/>
  </si>
  <si>
    <t>后地板7#</t>
    <phoneticPr fontId="11" type="noConversion"/>
  </si>
  <si>
    <t>后地板6#</t>
    <phoneticPr fontId="11" type="noConversion"/>
  </si>
  <si>
    <t>后地板5#</t>
    <phoneticPr fontId="11" type="noConversion"/>
  </si>
  <si>
    <t>后地板4#</t>
    <phoneticPr fontId="11" type="noConversion"/>
  </si>
  <si>
    <t>W1RR4-010L</t>
    <phoneticPr fontId="9" type="noConversion"/>
  </si>
  <si>
    <t>后纵梁总成1#-左</t>
    <phoneticPr fontId="9" type="noConversion"/>
  </si>
  <si>
    <t>后纵梁总成2#-左</t>
    <phoneticPr fontId="9" type="noConversion"/>
  </si>
  <si>
    <t>后纵梁总成1#-右</t>
    <phoneticPr fontId="9" type="noConversion"/>
  </si>
  <si>
    <t>后纵梁总成2#-右</t>
    <phoneticPr fontId="9" type="noConversion"/>
  </si>
  <si>
    <t>前纵梁右4#</t>
    <phoneticPr fontId="11" type="noConversion"/>
  </si>
  <si>
    <t>前纵梁右3#</t>
    <phoneticPr fontId="11" type="noConversion"/>
  </si>
  <si>
    <t>前纵梁右2#</t>
    <phoneticPr fontId="11" type="noConversion"/>
  </si>
  <si>
    <t>前纵梁右1#</t>
    <phoneticPr fontId="11" type="noConversion"/>
  </si>
  <si>
    <t>前纵梁左4#</t>
    <phoneticPr fontId="11" type="noConversion"/>
  </si>
  <si>
    <t>前纵梁左3#</t>
    <phoneticPr fontId="11" type="noConversion"/>
  </si>
  <si>
    <t>前纵梁左2#</t>
    <phoneticPr fontId="11" type="noConversion"/>
  </si>
  <si>
    <t>前纵梁左1#</t>
    <phoneticPr fontId="11" type="noConversion"/>
  </si>
  <si>
    <t>C柱内板总成合件-左</t>
    <phoneticPr fontId="8" type="noConversion"/>
  </si>
  <si>
    <t>C柱加强板总成-左</t>
    <phoneticPr fontId="9" type="noConversion"/>
  </si>
  <si>
    <t>尾灯盒总成-左</t>
    <phoneticPr fontId="9" type="noConversion"/>
  </si>
  <si>
    <t>后侧围内板分总成-左</t>
    <phoneticPr fontId="8" type="noConversion"/>
  </si>
  <si>
    <t>后侧围内板总成-左</t>
    <phoneticPr fontId="8" type="noConversion"/>
  </si>
  <si>
    <t>后轮罩外板总成-右</t>
    <phoneticPr fontId="9" type="noConversion"/>
  </si>
  <si>
    <t>C柱内板总成合件-右</t>
    <phoneticPr fontId="8" type="noConversion"/>
  </si>
  <si>
    <t>C柱内板总成-右</t>
    <phoneticPr fontId="9" type="noConversion"/>
  </si>
  <si>
    <t>C柱加强板总成-右</t>
    <phoneticPr fontId="9" type="noConversion"/>
  </si>
  <si>
    <t>侧围外板-左对中工位</t>
    <phoneticPr fontId="11" type="noConversion"/>
  </si>
  <si>
    <t>侧围外板-左上件工位</t>
    <phoneticPr fontId="11" type="noConversion"/>
  </si>
  <si>
    <t>侧围外板总成-左上件工位</t>
    <phoneticPr fontId="11" type="noConversion"/>
  </si>
  <si>
    <t>侧围外板总成-左焊接涂胶工位</t>
    <phoneticPr fontId="11" type="noConversion"/>
  </si>
  <si>
    <t>侧围前部总成-左/右上件焊接工位</t>
    <phoneticPr fontId="11" type="noConversion"/>
  </si>
  <si>
    <t>后侧围内板总成总成-左/右上件焊接工位</t>
    <phoneticPr fontId="11" type="noConversion"/>
  </si>
  <si>
    <t>侧围外板总成-左/右焊接涂胶工位</t>
    <phoneticPr fontId="11" type="noConversion"/>
  </si>
  <si>
    <t>前机舱总成人工上件</t>
    <phoneticPr fontId="8" type="noConversion"/>
  </si>
  <si>
    <t>前机舱总成焊接</t>
    <phoneticPr fontId="8" type="noConversion"/>
  </si>
  <si>
    <t>左右A柱挡板总成上件</t>
    <phoneticPr fontId="8" type="noConversion"/>
  </si>
  <si>
    <t>下车体前部总成焊接</t>
    <phoneticPr fontId="8" type="noConversion"/>
  </si>
  <si>
    <t>前地板总成上件</t>
    <phoneticPr fontId="8" type="noConversion"/>
  </si>
  <si>
    <t>机舱前地板、后地板上件</t>
    <phoneticPr fontId="11" type="noConversion"/>
  </si>
  <si>
    <t>补焊工位</t>
    <phoneticPr fontId="11" type="noConversion"/>
  </si>
  <si>
    <t>空气室总成上件</t>
    <phoneticPr fontId="11" type="noConversion"/>
  </si>
  <si>
    <t>后围总成上件</t>
    <phoneticPr fontId="11" type="noConversion"/>
  </si>
  <si>
    <t>下车体补焊工位</t>
    <phoneticPr fontId="9" type="noConversion"/>
  </si>
  <si>
    <t>下车体植焊工位</t>
    <phoneticPr fontId="9" type="noConversion"/>
  </si>
  <si>
    <t>强度检查</t>
    <phoneticPr fontId="9" type="noConversion"/>
  </si>
  <si>
    <t>前防撞梁安装组件、翼子板支架人工焊接</t>
    <phoneticPr fontId="9" type="noConversion"/>
  </si>
  <si>
    <t>侧围及前后横梁预拼工位</t>
    <phoneticPr fontId="9" type="noConversion"/>
  </si>
  <si>
    <t>侧围预搭扣、强度检查工位</t>
    <phoneticPr fontId="9" type="noConversion"/>
  </si>
  <si>
    <t>车身补焊工位</t>
    <phoneticPr fontId="9" type="noConversion"/>
  </si>
  <si>
    <t>顶盖总成（天窗、非天窗）</t>
    <phoneticPr fontId="11" type="noConversion"/>
  </si>
  <si>
    <t>顶盖总成（全景天窗）</t>
    <phoneticPr fontId="9" type="noConversion"/>
  </si>
  <si>
    <t>顶盖总成检查</t>
    <phoneticPr fontId="11" type="noConversion"/>
  </si>
  <si>
    <t>尾门内板分总成点定</t>
    <phoneticPr fontId="8" type="noConversion"/>
  </si>
  <si>
    <t>尾门内板总成点定</t>
    <phoneticPr fontId="8" type="noConversion"/>
  </si>
  <si>
    <t>尾门内板总成补焊</t>
    <phoneticPr fontId="8" type="noConversion"/>
  </si>
  <si>
    <t>尾门外板总成点定</t>
    <phoneticPr fontId="8" type="noConversion"/>
  </si>
  <si>
    <t>尾门外板总成补焊</t>
    <phoneticPr fontId="8" type="noConversion"/>
  </si>
  <si>
    <t>尾门内外板上件、涂胶</t>
    <phoneticPr fontId="11" type="noConversion"/>
  </si>
  <si>
    <t>尾门总成滚边</t>
    <phoneticPr fontId="11" type="noConversion"/>
  </si>
  <si>
    <t>尾门总成机器人补焊</t>
    <phoneticPr fontId="11" type="noConversion"/>
  </si>
  <si>
    <t>尾门总成人工补焊</t>
    <phoneticPr fontId="11" type="noConversion"/>
  </si>
  <si>
    <t>尾门总成下件</t>
    <phoneticPr fontId="11" type="noConversion"/>
  </si>
  <si>
    <t>发动机盖内板总成点定</t>
    <phoneticPr fontId="9" type="noConversion"/>
  </si>
  <si>
    <t>发动机盖内板总成补焊</t>
    <phoneticPr fontId="9" type="noConversion"/>
  </si>
  <si>
    <t>发动机盖内板涂胶上件工位</t>
    <phoneticPr fontId="11" type="noConversion"/>
  </si>
  <si>
    <t>发动机盖滚边</t>
    <phoneticPr fontId="11" type="noConversion"/>
  </si>
  <si>
    <t>发动机盖下件工位</t>
    <phoneticPr fontId="11" type="noConversion"/>
  </si>
  <si>
    <t>左前门滚边</t>
    <phoneticPr fontId="11" type="noConversion"/>
  </si>
  <si>
    <t>左前门机器人补焊</t>
    <phoneticPr fontId="11" type="noConversion"/>
  </si>
  <si>
    <t>左前门总成下件检查</t>
    <phoneticPr fontId="11" type="noConversion"/>
  </si>
  <si>
    <t>右前门滚边</t>
    <phoneticPr fontId="11" type="noConversion"/>
  </si>
  <si>
    <t>右前门机器人补焊</t>
    <phoneticPr fontId="11" type="noConversion"/>
  </si>
  <si>
    <t>右前门总成下件检查</t>
    <phoneticPr fontId="11" type="noConversion"/>
  </si>
  <si>
    <t>左后门上件、涂胶</t>
    <phoneticPr fontId="11" type="noConversion"/>
  </si>
  <si>
    <t>左后门滚边</t>
    <phoneticPr fontId="11" type="noConversion"/>
  </si>
  <si>
    <t>左后门补焊</t>
    <phoneticPr fontId="11" type="noConversion"/>
  </si>
  <si>
    <t>左后门钣金总成检查</t>
    <phoneticPr fontId="11" type="noConversion"/>
  </si>
  <si>
    <t>右后门内板分总成点定</t>
    <phoneticPr fontId="9" type="noConversion"/>
  </si>
  <si>
    <t>右后门内板分总成补焊</t>
    <phoneticPr fontId="9" type="noConversion"/>
  </si>
  <si>
    <t>右后门内板总成</t>
    <phoneticPr fontId="9" type="noConversion"/>
  </si>
  <si>
    <t>右后门上件</t>
    <phoneticPr fontId="11" type="noConversion"/>
  </si>
  <si>
    <t>右后门钣金总成检查</t>
    <phoneticPr fontId="11" type="noConversion"/>
  </si>
  <si>
    <t>CO2焊接I</t>
    <phoneticPr fontId="9" type="noConversion"/>
  </si>
  <si>
    <t>CO2焊接II</t>
    <phoneticPr fontId="9" type="noConversion"/>
  </si>
  <si>
    <t>打磨</t>
    <phoneticPr fontId="11" type="noConversion"/>
  </si>
  <si>
    <t>小件安装#1</t>
    <phoneticPr fontId="11" type="noConversion"/>
  </si>
  <si>
    <t>小件安装#2</t>
    <phoneticPr fontId="9" type="noConversion"/>
  </si>
  <si>
    <t>后背门安装</t>
    <phoneticPr fontId="11" type="noConversion"/>
  </si>
  <si>
    <t>后门钣金总成安装</t>
    <phoneticPr fontId="11" type="noConversion"/>
  </si>
  <si>
    <t>前门钣金总成安装</t>
    <phoneticPr fontId="11" type="noConversion"/>
  </si>
  <si>
    <t>翼子板安装</t>
    <phoneticPr fontId="11" type="noConversion"/>
  </si>
  <si>
    <t>机盖安装</t>
    <phoneticPr fontId="11" type="noConversion"/>
  </si>
  <si>
    <t>精调</t>
    <phoneticPr fontId="11" type="noConversion"/>
  </si>
  <si>
    <t>顶盖外观检查</t>
    <phoneticPr fontId="11" type="noConversion"/>
  </si>
  <si>
    <t>外观检查1</t>
    <phoneticPr fontId="11" type="noConversion"/>
  </si>
  <si>
    <t>外观检查2</t>
    <phoneticPr fontId="11" type="noConversion"/>
  </si>
  <si>
    <t>车身前部返修</t>
    <phoneticPr fontId="11" type="noConversion"/>
  </si>
  <si>
    <t>车身后部返修</t>
    <phoneticPr fontId="11" type="noConversion"/>
  </si>
  <si>
    <t>车身清理1</t>
    <phoneticPr fontId="11" type="noConversion"/>
  </si>
  <si>
    <t>擦车清理</t>
    <phoneticPr fontId="11" type="noConversion"/>
  </si>
  <si>
    <t>大物返修</t>
    <phoneticPr fontId="11" type="noConversion"/>
  </si>
  <si>
    <t>工位合计</t>
    <phoneticPr fontId="9" type="noConversion"/>
  </si>
  <si>
    <t>前地板分装线</t>
  </si>
  <si>
    <t>前围板分装线</t>
  </si>
  <si>
    <t>后地板分装线</t>
  </si>
  <si>
    <t>前纵梁分装线</t>
  </si>
  <si>
    <t>机舱自动线</t>
  </si>
  <si>
    <t>UB线</t>
  </si>
  <si>
    <t>顶盖</t>
  </si>
  <si>
    <t>行李箱盖</t>
  </si>
  <si>
    <t>发盖</t>
  </si>
  <si>
    <t>左前门</t>
  </si>
  <si>
    <t>右前门</t>
  </si>
  <si>
    <t>左后门</t>
  </si>
  <si>
    <t>右后门</t>
  </si>
  <si>
    <t>CO2焊房</t>
  </si>
  <si>
    <t>装调线</t>
  </si>
  <si>
    <t>最终线</t>
  </si>
  <si>
    <t>尾门内板分总成点定</t>
  </si>
  <si>
    <t>尾门内板总成点定</t>
  </si>
  <si>
    <t>尾门内板总成补焊</t>
  </si>
  <si>
    <t>尾门外板总成点定</t>
  </si>
  <si>
    <t>尾门外板总成补焊</t>
  </si>
  <si>
    <t>尾门总成滚边</t>
  </si>
  <si>
    <t>尾门总成人工补焊</t>
  </si>
  <si>
    <t>尾门总成下件</t>
  </si>
  <si>
    <t>发动机盖内板总成点定</t>
  </si>
  <si>
    <t>发动机盖内板总成补焊</t>
  </si>
  <si>
    <t>发动机盖内板涂胶上件工位</t>
  </si>
  <si>
    <t>发动机盖滚边</t>
  </si>
  <si>
    <t>发动机盖下件工位</t>
  </si>
  <si>
    <t>左前门滚边</t>
  </si>
  <si>
    <t>左前门总成下件检查</t>
  </si>
  <si>
    <t>右前门滚边</t>
  </si>
  <si>
    <t>右前门总成下件检查</t>
  </si>
  <si>
    <t>左后门上件、涂胶</t>
  </si>
  <si>
    <t>左后门滚边</t>
  </si>
  <si>
    <t>左后门钣金总成检查</t>
  </si>
  <si>
    <t>右后门内板分总成点定</t>
  </si>
  <si>
    <t>右后门内板分总成补焊</t>
  </si>
  <si>
    <t>右后门内板总成</t>
  </si>
  <si>
    <t>右后门上件</t>
  </si>
  <si>
    <t>右后门钣金总成检查</t>
  </si>
  <si>
    <t>机</t>
  </si>
  <si>
    <t>W1FD2-040L</t>
    <phoneticPr fontId="8" type="noConversion"/>
  </si>
  <si>
    <t>W1FD1-010L</t>
    <phoneticPr fontId="8" type="noConversion"/>
  </si>
  <si>
    <t>W1FD1-020L</t>
    <phoneticPr fontId="8" type="noConversion"/>
  </si>
  <si>
    <t>W1FD1-030L</t>
    <phoneticPr fontId="8" type="noConversion"/>
  </si>
  <si>
    <t>W1FD2-050L</t>
    <phoneticPr fontId="11" type="noConversion"/>
  </si>
  <si>
    <t>W1FD2-060L</t>
    <phoneticPr fontId="11" type="noConversion"/>
  </si>
  <si>
    <t>W1FD2-070L</t>
    <phoneticPr fontId="11" type="noConversion"/>
  </si>
  <si>
    <t>V1</t>
    <phoneticPr fontId="16" type="noConversion"/>
  </si>
  <si>
    <t>初始版本，两个辅助表，四门线体名称生产序列有错误，工位名称自动生产工时没有用绝对引用；</t>
    <phoneticPr fontId="16" type="noConversion"/>
  </si>
  <si>
    <t>V2</t>
    <phoneticPr fontId="16" type="noConversion"/>
  </si>
  <si>
    <t>版本号</t>
    <phoneticPr fontId="16" type="noConversion"/>
  </si>
  <si>
    <t>记录</t>
    <phoneticPr fontId="16" type="noConversion"/>
  </si>
  <si>
    <t>版本发布日期</t>
    <phoneticPr fontId="16" type="noConversion"/>
  </si>
  <si>
    <t>记录人</t>
    <phoneticPr fontId="16" type="noConversion"/>
  </si>
  <si>
    <t>1、合并两个辅助表；
2、新增版本更新记录；
3、完善了名称错误和公式引用错误</t>
    <phoneticPr fontId="16" type="noConversion"/>
  </si>
  <si>
    <t>俞华昌</t>
    <phoneticPr fontId="16" type="noConversion"/>
  </si>
  <si>
    <t>上海君屹</t>
  </si>
  <si>
    <t>W1ER3-010</t>
  </si>
  <si>
    <t>W1ER3-050</t>
  </si>
  <si>
    <t>把手与BASE板连接处增加加强筋</t>
  </si>
  <si>
    <t>郑伟康/汪东城</t>
  </si>
  <si>
    <t>何彬</t>
  </si>
  <si>
    <t>卓立腾飞</t>
  </si>
  <si>
    <t>生技</t>
  </si>
  <si>
    <t>W1DA4-010</t>
  </si>
  <si>
    <t>法</t>
  </si>
  <si>
    <t>增加涂胶导向</t>
  </si>
  <si>
    <t>何彬/汪东城</t>
  </si>
  <si>
    <t>W1RR4-010R</t>
  </si>
  <si>
    <t>料</t>
  </si>
  <si>
    <t>W1RR4-020R</t>
  </si>
  <si>
    <t>W1RR4-020L</t>
  </si>
  <si>
    <t>环</t>
  </si>
  <si>
    <t>人</t>
  </si>
  <si>
    <t>W1HP4-010</t>
  </si>
  <si>
    <t>W1FL-100</t>
  </si>
  <si>
    <t>W1FL-130</t>
  </si>
  <si>
    <t>W1FL-140</t>
  </si>
  <si>
    <t>门广强
刘春来</t>
  </si>
  <si>
    <t>万千里</t>
  </si>
  <si>
    <t>W1FD2-050L</t>
  </si>
  <si>
    <t>W1RD2-030L</t>
  </si>
  <si>
    <t>W1FD1-010R</t>
  </si>
  <si>
    <t>W1FD1-030R</t>
  </si>
  <si>
    <t>W1FD2-050R</t>
  </si>
  <si>
    <t>W1RD1-010R</t>
  </si>
  <si>
    <t>W1RD2-030R</t>
  </si>
  <si>
    <t>W1FD1-020R</t>
  </si>
  <si>
    <t>W1RD1-015R</t>
  </si>
  <si>
    <t>W1RD1-020R</t>
  </si>
  <si>
    <t>W1FD2-070L</t>
  </si>
  <si>
    <t>W1FD2-040R</t>
  </si>
  <si>
    <t>W1FD2-070R</t>
  </si>
  <si>
    <t>W1RD2-060L</t>
  </si>
  <si>
    <t>W1RD2-060R</t>
  </si>
  <si>
    <t>2020.04.30</t>
  </si>
  <si>
    <t>2020.03.30</t>
  </si>
  <si>
    <t>2020.03.19</t>
  </si>
  <si>
    <t>2020.03.18</t>
  </si>
  <si>
    <t>2020.03.22</t>
  </si>
  <si>
    <t>2020.03.14</t>
  </si>
  <si>
    <t>2020.03.23</t>
  </si>
  <si>
    <t>2020.03.10</t>
  </si>
  <si>
    <t>2020.03.27</t>
  </si>
  <si>
    <t>2020.04.20</t>
  </si>
  <si>
    <t>2020.04.15</t>
  </si>
  <si>
    <t>W1FL-120</t>
  </si>
  <si>
    <t>W1FL-150</t>
  </si>
  <si>
    <t>2020.03.20</t>
  </si>
  <si>
    <t>2020.04.13</t>
  </si>
  <si>
    <t>陈泽楷/钱伟</t>
  </si>
  <si>
    <t>62项目中涉及新增/改造的夹具、抓手、料车，其信号线应悬挂信号始-终标识牌</t>
  </si>
  <si>
    <t>新增/改造的夹具、抓手、料车信号线悬挂标识牌</t>
  </si>
  <si>
    <t>汪东城/陈泽楷</t>
  </si>
  <si>
    <t>2019.11.29</t>
  </si>
  <si>
    <t>陈泽楷</t>
  </si>
  <si>
    <t>ER50-R3机器人与C62X前地板专用抓手模块通讯速度慢：单次15S，</t>
  </si>
  <si>
    <t>请确认C62X前地板专用抓手模</t>
  </si>
  <si>
    <t>C62X专用后地板精度料车把手刚性不足，推拉时有活动量，带件推拉时困难</t>
  </si>
  <si>
    <t>C53F/C62X/C61X一共3对料车，转台仅四面，无法满足车型切换</t>
  </si>
  <si>
    <t>优化触摸屏画面</t>
  </si>
  <si>
    <t>张恩涛</t>
  </si>
  <si>
    <t>阀岛没有目视化</t>
  </si>
  <si>
    <t>对阀岛进行目视化标识（阀岛内输入、输出点对应的信息和PLC的功能块）</t>
  </si>
  <si>
    <t>周斌</t>
  </si>
  <si>
    <t>2019.10.15</t>
  </si>
  <si>
    <t>机舱ER10岗位的滑台导轨不平整，凹凸不平，需调整。目前轨道表面已经出现马甸（说明行走轮已经出现异常损坏）</t>
  </si>
  <si>
    <t>重新调整导轨水平度</t>
  </si>
  <si>
    <t>2019.12.24</t>
  </si>
  <si>
    <t>王旭</t>
  </si>
  <si>
    <t>自动焊存在扭焊、分流、飞溅、半点、缩孔、毛刺、击穿、位置、马蹄点等不良，需重新校准轨迹及焊接参数</t>
  </si>
  <si>
    <t>针对焊接轨迹进行校准并优化焊接规范</t>
  </si>
  <si>
    <t>武万斌、钱伟</t>
  </si>
  <si>
    <t>孙圣博</t>
  </si>
  <si>
    <t>FU30/40工位，4把C型焊枪喉深过大，焊极臂宽度过大，影响焊接</t>
  </si>
  <si>
    <t>增加人员定额，更改工艺卡；考虑部分焊点转移自动线，减少本工位焊点</t>
  </si>
  <si>
    <t>郑伟康</t>
  </si>
  <si>
    <t>FF40工位，大X型焊枪操作困难，需两人扶枪作业，影响操作工时</t>
  </si>
  <si>
    <t>图示位置盲点（左右对称）</t>
  </si>
  <si>
    <t>1、已同自动线确认，焊枪与抓具干涉。
2、加强培训，操作熟练度提升</t>
  </si>
  <si>
    <t>DA50：左/右门槛内板分总成涂胶位置不可控，缺涂胶辅助工装</t>
  </si>
  <si>
    <t>2019.10.30
2019.12.16
2020.01.10</t>
  </si>
  <si>
    <t>FF050:缺少左/右门槛涂胶辅助工装，涂胶位置不可控</t>
  </si>
  <si>
    <t>2019.10.30
2019.12.16
2020.01.30</t>
  </si>
  <si>
    <t>无涂胶辅助工装，前纵梁外板总成涂胶位置不可控，涂胶位置易错</t>
  </si>
  <si>
    <t>2019.10.30
2020.01.30</t>
  </si>
  <si>
    <t>2019.10.14</t>
  </si>
  <si>
    <t>RR10~20L/R工位吊具平衡器设计过重，下拉时存在安全隐患</t>
  </si>
  <si>
    <t>重新检讨设计吊具样式，若平衡器吊具方案无法满足要求，建议使用气动葫芦吊具。</t>
  </si>
  <si>
    <t>2020.01.30</t>
  </si>
  <si>
    <t>FF30工位植焊后需翻转180°，操作性差。</t>
  </si>
  <si>
    <t>建议吊具改成可翻转90度，中转台改成90度，以便下工序上件。</t>
  </si>
  <si>
    <t>2020.01.20</t>
  </si>
  <si>
    <t>2019.11.21</t>
  </si>
  <si>
    <t>石建城</t>
  </si>
  <si>
    <t>部分焊枪由于枪型较重,需握电极臂进行焊接,手握位置焊接过程中存在安全隐患容易压到手</t>
  </si>
  <si>
    <t>建议在焊枪增加辅助手柄#1  PTX-C1548*1
#2  PTX-C1548*1
#3  PTX-C1548*2
#6  X型焊枪*2   C型焊枪*2
#7  X型焊枪*3
#8  X型焊枪*4
#9  X型焊枪*2    共17把</t>
  </si>
  <si>
    <t>卓力腾飞</t>
  </si>
  <si>
    <t>2019.12.30
2020.01.20
2020.02.28</t>
  </si>
  <si>
    <t>焊接过程中,焊枪撞到螺柱</t>
  </si>
  <si>
    <t>2020.01.20
2020.02.28</t>
  </si>
  <si>
    <t>2019.12.18</t>
  </si>
  <si>
    <t>前围下板与外板搭接后两侧图示位置缺少压紧，焊接后间隙大</t>
  </si>
  <si>
    <t>增加两侧Y向压紧</t>
  </si>
  <si>
    <t>沈小龙</t>
  </si>
  <si>
    <t>DA10工位2个手动夹具无把手或标识</t>
  </si>
  <si>
    <t>增加手动夹具把手</t>
  </si>
  <si>
    <t>DA20工位1个手动夹具把手缺失</t>
  </si>
  <si>
    <t>DA20焊枪较重，且焊接过程中易干涉，导致作业困难
焊点号：B3、B4、B5、B6、B7、B8、B10、B11
焊枪型号：PTX-C1517</t>
  </si>
  <si>
    <t>DA50一把焊枪闲置，且不适用现场实际岗位
焊枪型号：ZMF75-X30-4030</t>
  </si>
  <si>
    <t>DA60一把焊枪闲置，且不适用现场实际岗位
焊枪型号：ZMF75-X25-5830</t>
  </si>
  <si>
    <t>左前纵梁10#工位焊后总成较重，需要安装吊具
左前纵梁10#总成重量17.6kg</t>
  </si>
  <si>
    <t>右前纵梁10#工位焊后总成较重，需要安装吊具
左前纵梁10#总成重量14.8kg</t>
  </si>
  <si>
    <t>RR20R作业过程中焊枪与夹具干涉，
焊点号：A1、A2、A9、A10
焊枪型号：PTI-ZMF75-X42-3920</t>
  </si>
  <si>
    <t>验证转移焊点至自动线</t>
  </si>
  <si>
    <t>RR20L作业过程中焊枪与夹具干涉，
焊点号：A1、A2、A9、A10
焊枪型号：PTI-ZMF75-X42-3920</t>
  </si>
  <si>
    <t>RF40气动葫芦已坏</t>
  </si>
  <si>
    <t>维修气动葫芦</t>
  </si>
  <si>
    <t>RF60胶枪无挂钩
需增加2个胶枪挂钩</t>
  </si>
  <si>
    <t>RF60工位，作业空间狭小，焊枪与零件干涉，易造成焊点分流
焊点号：C7、C8、C9、C10、C11
焊枪型号：PTC-C1109</t>
  </si>
  <si>
    <t>RF60工位5个焊点转移至RF70工位（暂定），同时试教能否转移至自动线</t>
  </si>
  <si>
    <t>RF90螺柱焊枪焊接质量差，多发开焊</t>
  </si>
  <si>
    <t>RF100后地板总成转运台车难推动</t>
  </si>
  <si>
    <t>后期调试使用AGV小车</t>
  </si>
  <si>
    <t>RR10、RR20工位缺少手动胶枪4把</t>
  </si>
  <si>
    <t>增加手动胶枪</t>
  </si>
  <si>
    <t>RF100工位踏台容易踩空</t>
  </si>
  <si>
    <t>加长塔台长度</t>
  </si>
  <si>
    <t>FF10作业过程中焊枪与夹具干涉，导致操作困难
焊点：A13、A12
焊枪型号：PTX-C1549</t>
  </si>
  <si>
    <t>为解决干涉，已拆除XP支撑块，待XP试制确认，拆除支撑块是否影响XP零件的装焊</t>
  </si>
  <si>
    <t>FF10工位焊枪PTC-C1110目前只有一个手柄开关，另一侧需要加装一个</t>
  </si>
  <si>
    <t>该岗位夹具较大，一个作业人员焊接两侧螺柱困难，螺柱焊接数量26颗，严重影响节拍，建议增加一把螺柱焊枪</t>
  </si>
  <si>
    <t>20JPH的人员定额是2人，目前单人工时3.8min，
P阶段，测量该工位工时，满足20JPH即可</t>
  </si>
  <si>
    <t>FF40气动葫芦气管太短，限制吊具滑动距离</t>
  </si>
  <si>
    <t>加长气动葫芦气管</t>
  </si>
  <si>
    <t>前地板区域多岗位吊具的二次保护绳太长，影响吊具操作</t>
  </si>
  <si>
    <t>作业工时不满足20JPH
工位焊点数量：43个
上件数量：2个（需两人一起上件）
目前工时260s</t>
  </si>
  <si>
    <t xml:space="preserve">转移7个焊点至自动线RF70
</t>
  </si>
  <si>
    <t>作业工时不满足20JPH
焊点数量：53个
上件数量：7个
打胶数量：两段
目前工时372s</t>
  </si>
  <si>
    <t>作业工时不满足20JPH
焊点数量：78个
上件数量：1个
目前工时265s</t>
  </si>
  <si>
    <t>作业工时不满足20JPH
焊点数量：50个
上件数量：2个
目前工时275s</t>
  </si>
  <si>
    <t>作业工时不满足20JPH
焊点数量：30个
上件数量：6个
打胶数量：2段
目前工时392s</t>
  </si>
  <si>
    <t>作业工时不满足20JPH
焊点数量：30个
上件数量：7个
打胶数量：2段
目前工时298s</t>
  </si>
  <si>
    <t>作业工时不满足20JPH
焊点数量：44个
上件数量：4个
打胶数量：1段，胶片3片
目前工时392s</t>
  </si>
  <si>
    <t>作业工时不满足20JPH
焊点数量：73个
上件数量：2个
打胶数量：12段
目前工时304s</t>
  </si>
  <si>
    <t>岗位员工</t>
  </si>
  <si>
    <t>岗位无胶枪,需要到030岗位涂胶,距离远操作不便</t>
  </si>
  <si>
    <t>在W1BSI4010-L岗位增加支胶枪</t>
  </si>
  <si>
    <t>手工分装线共性问题:胶枪无固定挂钩</t>
  </si>
  <si>
    <t>增加胶枪固定挂钩</t>
  </si>
  <si>
    <t>手工分装线共性问题:结构胶枪嘴无加热装置</t>
  </si>
  <si>
    <t>增加结构胶枪嘴加热装置</t>
  </si>
  <si>
    <t>焊点斜面焊点焊接困难</t>
  </si>
  <si>
    <t>增加踏台，如不行需增加一把C枪</t>
  </si>
  <si>
    <t>焊枪缺少双手柄操作</t>
  </si>
  <si>
    <t>增加焊枪手柄</t>
  </si>
  <si>
    <t xml:space="preserve">吊具其中一个挂钩失去吊挂能力,难操作,需要优化 </t>
  </si>
  <si>
    <t>调整吊具挂钩铁链长度</t>
  </si>
  <si>
    <t xml:space="preserve">小原焊枪绿色按钮损坏需更换     </t>
  </si>
  <si>
    <t>更换按钮</t>
  </si>
  <si>
    <t>X焊装转盘不灵活,难转动</t>
  </si>
  <si>
    <t>添加润滑油或零件更换</t>
  </si>
  <si>
    <t>零件重量较重,搬件困难</t>
  </si>
  <si>
    <t>建议加装吊具</t>
  </si>
  <si>
    <t>工位缺少一把焊枪,一个焊枪手柄</t>
  </si>
  <si>
    <t>厂家增加相应焊枪及焊枪手柄</t>
  </si>
  <si>
    <t>工位缺少一台风扇</t>
  </si>
  <si>
    <t>厂家安装风扇</t>
  </si>
  <si>
    <t>C枪1个焊点不可达，需要使用上工位焊枪对应</t>
  </si>
  <si>
    <t>电极臂加长,跟进电极臂整改进度及完成情况</t>
  </si>
  <si>
    <t>共95个精度料框,目前调试完成10个</t>
  </si>
  <si>
    <t>跟进料框调试进度</t>
  </si>
  <si>
    <t>生技部</t>
  </si>
  <si>
    <t>上件处上方未放到位或感应不到位定位装置无状态指示灯</t>
  </si>
  <si>
    <t>增加工件到位指示灯</t>
  </si>
  <si>
    <t>工位人机操作性差，上件困难</t>
  </si>
  <si>
    <t>增加吊具</t>
  </si>
  <si>
    <t>共性问题:修磨器修磨飞溅严重，到处都是铜屑</t>
  </si>
  <si>
    <t>推动自动修磨器设备整改</t>
  </si>
  <si>
    <t>结构胶出胶不稳定,常有断胶情况</t>
  </si>
  <si>
    <t>厂家优化设备参数</t>
  </si>
  <si>
    <t>左侧夹具对翼子板安装支架Z向限位不足</t>
  </si>
  <si>
    <t>夹具设变,增加Z向定位</t>
  </si>
  <si>
    <t>踏台高度与平台不齐平，焊枪打防撞梁盖板内侧焊点困难</t>
  </si>
  <si>
    <t>增加塌台高度</t>
  </si>
  <si>
    <t>2020.04.5</t>
  </si>
  <si>
    <t xml:space="preserve">前横梁料车仅调试2个,一个不使用,一个未调试； 
后横梁料车调试2个,一个不使用,两个未调试;
</t>
  </si>
  <si>
    <t>跟进料车调试进度</t>
  </si>
  <si>
    <t>后横梁预搭扣不良</t>
  </si>
  <si>
    <t>厂家优化预搭扣抓手定位</t>
  </si>
  <si>
    <t>涂胶视觉未调试</t>
  </si>
  <si>
    <t>跟进视觉调试进度</t>
  </si>
  <si>
    <t>MB11侧围总成-左/右 抓手，主副定位销气缸为固定气缸；预搭扣完离开时，抓手与工件之间存在径向力，有使侧围被拉出掉落风险</t>
  </si>
  <si>
    <t>抓手固定定位销改为伸缩销,预计4月中到厂安装</t>
  </si>
  <si>
    <t>调整夹头定位垫片,优化车身精度</t>
  </si>
  <si>
    <t>节拍超100S；</t>
  </si>
  <si>
    <t>已进100s节拍</t>
  </si>
  <si>
    <t>夹具切换时间超3 Min且左右不同步严重；</t>
  </si>
  <si>
    <t>厂家优化设备</t>
  </si>
  <si>
    <t>左侧围流水槽2处钣金;</t>
  </si>
  <si>
    <t>调整流水槽定位块</t>
  </si>
  <si>
    <t>夹具模块线标不合理</t>
  </si>
  <si>
    <t>厂家整改夹具模块标线</t>
  </si>
  <si>
    <t>车身停止位与底部NC定位X向偏差4mm，落下时有干涉</t>
  </si>
  <si>
    <t>纠正X向定位偏差后重新确认焊点</t>
  </si>
  <si>
    <t>涂胶视觉未启用</t>
  </si>
  <si>
    <t>跟进厂家调试进度</t>
  </si>
  <si>
    <t>顶盖料车调试7个,还剩1个未调试</t>
  </si>
  <si>
    <t>干涉部位零件设变,预计4月中可到厂安装</t>
  </si>
  <si>
    <t xml:space="preserve">左右侧另一个料车均未上转台并调试； </t>
  </si>
  <si>
    <t>跟进推动另一侧料车调试进度</t>
  </si>
  <si>
    <t>目前62仅用一面,53用两面,61用一面</t>
  </si>
  <si>
    <t>右后门锁扣处造型焊接后存在波浪</t>
  </si>
  <si>
    <t>优化焊点打点姿态</t>
  </si>
  <si>
    <t>打刻拍照未调试完成</t>
  </si>
  <si>
    <t>厂家对铰链安装夹具限位及配重优化后可消除干涉,预计4月初</t>
  </si>
  <si>
    <t>左前门铰链安装困难</t>
  </si>
  <si>
    <t>待下一轮匹配调整后调整左前门铰链,优化目前错孔现象</t>
  </si>
  <si>
    <t>周楚东</t>
  </si>
  <si>
    <t>焊房一人离职，另外两人（周留玉、成炜航）没有焊工证</t>
  </si>
  <si>
    <t>招聘1名焊工，及安排相关人员考证</t>
  </si>
  <si>
    <t>张理翔</t>
  </si>
  <si>
    <t>黄永全</t>
  </si>
  <si>
    <t>后背门吊具未安装，人手搬后背门体吃力。</t>
  </si>
  <si>
    <t>瑞祥厂家负责增加后背门搬运吊具</t>
  </si>
  <si>
    <t>瞿绪卓</t>
  </si>
  <si>
    <t>翼子板安装工装的吊具未安装，搬运吃力。</t>
  </si>
  <si>
    <t>瑞祥厂家负责增加吊具</t>
  </si>
  <si>
    <t>左翼子板与前门面差1～1.2mm，面差超差</t>
  </si>
  <si>
    <t>左前门面差不良，对左前门面差进行优化</t>
  </si>
  <si>
    <t>右翼子板与A柱匹配间隙小1mm，标准2MM</t>
  </si>
  <si>
    <t>冲压对翼子板修模整改</t>
  </si>
  <si>
    <t>右翼子板与右前门面板中不面差不良1～1.5mm</t>
  </si>
  <si>
    <t>发动机盖安装工装的吊具未安装，搬运吃力。</t>
  </si>
  <si>
    <t>发动机盖使用工装安装间隙间隙不稳定</t>
  </si>
  <si>
    <t>继续调整优化工装定位</t>
  </si>
  <si>
    <t>发动机盖与右翼子板匹配间隙大，无法调整</t>
  </si>
  <si>
    <t>与发动机盖上检具状态一至，调整发动机盖</t>
  </si>
  <si>
    <t>发动机盖与右翼子板匹配间隙小，无发调整</t>
  </si>
  <si>
    <t>C62XP左前后门C区间隙大3.5~4mm，无法调整</t>
  </si>
  <si>
    <t>侧围使用5号台车，车身异常精度导致</t>
  </si>
  <si>
    <t>C62XP发动机盖与翼子板左侧隙小2mm，无法调整</t>
  </si>
  <si>
    <t>车身异常精度导致，C62X车型无该问题</t>
  </si>
  <si>
    <t>C62XP发动机盖与翼子板左侧隙面差不良2.4mm，无法调整</t>
  </si>
  <si>
    <t>C62自动焊CO2焊缝偏位较多，焊房补焊工作量大，补焊工时约8分钟</t>
  </si>
  <si>
    <t>焊接轨迹异常</t>
  </si>
  <si>
    <t>C62X左侧围仪表台支架螺母孔偏孔，无法安装螺栓</t>
  </si>
  <si>
    <t>精度异常</t>
  </si>
  <si>
    <t>W1FL-080</t>
  </si>
  <si>
    <t>下铰链加强板Y向与门内板存在间隙：0.7mm；上铰链面与内板X向自然状态下存在1.0-1.5mm间隙</t>
  </si>
  <si>
    <t>万千里
汪宽定</t>
  </si>
  <si>
    <t>2020.03.31</t>
  </si>
  <si>
    <t>窗框加强板与门内板（外后视镜位置）处存在间隙：1.0-1.5mm</t>
  </si>
  <si>
    <t>修正指示，窗框修偏；间隙仍存在</t>
  </si>
  <si>
    <t>窗框与内板搭接存在0.3-0.5mm间隙</t>
  </si>
  <si>
    <t>门内板使用总成检具检测超差，使用冲压检具检测不超差，无法正确判断；间隙仍存在</t>
  </si>
  <si>
    <t>腰线加强板翻转支撑块与腰线加强板R角干涉，零件被顶起</t>
  </si>
  <si>
    <t>切除支撑块干涉部位</t>
  </si>
  <si>
    <t>2020.03.05</t>
  </si>
  <si>
    <t>外后视镜加强板Y向搭接面与内板搭接存在1.5mm间隙，影响外后视镜安装面精度</t>
  </si>
  <si>
    <t>初步调查为腰线加强板与铰链加强板搭接处被铰链加强板顶起所致；最新确认间隙：0.7mm</t>
  </si>
  <si>
    <t>左前门水切边中后部内板与外板间隙小，无间隙</t>
  </si>
  <si>
    <t>零件切边超差</t>
  </si>
  <si>
    <t>水切边滚边不良频发</t>
  </si>
  <si>
    <t>窗框B柱上、下部与内板搭接存在1.0mm间隙</t>
  </si>
  <si>
    <t>窗框超差；最新确认间隙：0.75mm</t>
  </si>
  <si>
    <t>1、下铰链加强板与内板法兰边搭接存在0.5mm间隙
2、底部除了上下段搭接点与内板贴合外，中部均存在0.5mm间隙
3、影响总成面差，平行差达到1.0mm。</t>
  </si>
  <si>
    <t>铰链加强件未经过检具检证，已协调下批次送货把检具送到广州公司检证零件</t>
  </si>
  <si>
    <t>左后门窗框玻璃导轨支架与内板搭接存在1mm间隙</t>
  </si>
  <si>
    <t>窗框检具检测超差1mm</t>
  </si>
  <si>
    <t>夹具打开夹头无法打开</t>
  </si>
  <si>
    <t>间歇性发生</t>
  </si>
  <si>
    <t>左后门前部上部切边、内板切边与外板间隙小（0-0.5mm）</t>
  </si>
  <si>
    <t>冲压内板检测数据切边内收0-0.8（有利），外板检测数据OK</t>
  </si>
  <si>
    <t>窗框与内板（外后视镜位置）存在间：1.5-2mm</t>
  </si>
  <si>
    <t>窗框检具检测OK，但此部位为单向公差</t>
  </si>
  <si>
    <t>下铰链加强板未进行零件检证</t>
  </si>
  <si>
    <t>锁扣加强件与内板搭接1外观焊点外观不良</t>
  </si>
  <si>
    <t>铜板不贴合</t>
  </si>
  <si>
    <t>汪宽定</t>
  </si>
  <si>
    <t>上铰链气缸不灵敏，缺少手柄</t>
  </si>
  <si>
    <t>增加手柄；3月20日由瑞祥厂家实施整改，效果待验证</t>
  </si>
  <si>
    <t>右前门30工位c枪焊接此2焊点困难，焊枪难拖动至此部位</t>
  </si>
  <si>
    <t>PP生产时验证</t>
  </si>
  <si>
    <t>右前门水切后部与外板间隙小于0.5mm</t>
  </si>
  <si>
    <t>腰线加强板不稳定，30工位夹具定位不稳定，有的间隙大有的间隙小</t>
  </si>
  <si>
    <t>下铰链加强板与内板上部X向搭接存在1mm间隙，影响铰链安装面精度偏后0.7mm（标准0.5mm）</t>
  </si>
  <si>
    <t>右后门窗框玻璃导轨支架与内板搭接存在1mm间隙</t>
  </si>
  <si>
    <t>支架检具检测超差</t>
  </si>
  <si>
    <t>外板支撑板上部与腰线加强板搭接存在1.5-2mm间隙，下部支撑R角与零件干涉导致</t>
  </si>
  <si>
    <t>整改支撑块，切除干涉部分</t>
  </si>
  <si>
    <t>外板支撑板后部外观焊点凸起</t>
  </si>
  <si>
    <t>修磨铜板与零件贴合</t>
  </si>
  <si>
    <t>右后门前部内板切边与外板无间隙</t>
  </si>
  <si>
    <t>焊枪可达性差无法点定所有焊点锁扣加强板及外板支撑板</t>
  </si>
  <si>
    <t>加工块已安装，待验证</t>
  </si>
  <si>
    <t>本工位X枪未安装，部分焊点焊接困难</t>
  </si>
  <si>
    <t>已安装焊枪，电缆已安装，电流不稳定</t>
  </si>
  <si>
    <t>前盖滚边内外板胎膜定位后，内外板存在干涉</t>
  </si>
  <si>
    <t>冲压件上检具检测OK，胎膜定位导致。</t>
  </si>
  <si>
    <t>雨刮电机支架加强板右侧与内板搭接存在0.7mm间隙</t>
  </si>
  <si>
    <t>尾门右上窗框加强板总成与内板搭接间隙1mm</t>
  </si>
  <si>
    <t>弧面搭接多，两零件配合贴合难度大</t>
  </si>
  <si>
    <t>尾门铰链加强板与内板搭接铰链安装位置存在1mm间隙，玻璃安装面R角处存在1mm间隙</t>
  </si>
  <si>
    <t>检具检测零件超差较多，整改零件</t>
  </si>
  <si>
    <t>尾门右下部内板与外板切边无间隙，影响总成尺寸</t>
  </si>
  <si>
    <t>冲压内板检测数据外张0.4-0.7，存在超差，外板检测数据内收0.4，设计内外板间隙为1.5mm</t>
  </si>
  <si>
    <t>夹具转动过于灵敏，焊接困难</t>
  </si>
  <si>
    <t>已有整改方案，先验证左前门区域,PP生产时验证</t>
  </si>
  <si>
    <t>已有整改方案，先验证左前门区域,PP生产时验证；零件采购中</t>
  </si>
  <si>
    <t>人员未能定人定岗，且熟练度不足</t>
  </si>
  <si>
    <t>产品工艺工时明细表（车身）</t>
    <phoneticPr fontId="11" type="noConversion"/>
  </si>
  <si>
    <t>编号：BMF.0701.006.01.2015.M</t>
    <phoneticPr fontId="11" type="noConversion"/>
  </si>
  <si>
    <t>生效时间：2015年8月31日</t>
    <phoneticPr fontId="11" type="noConversion"/>
  </si>
  <si>
    <t>产品代号：C62X</t>
    <phoneticPr fontId="11" type="noConversion"/>
  </si>
  <si>
    <t>产品配置说明：</t>
    <phoneticPr fontId="11" type="noConversion"/>
  </si>
  <si>
    <t>生产线概述</t>
    <phoneticPr fontId="11" type="noConversion"/>
  </si>
  <si>
    <t>序号</t>
    <phoneticPr fontId="11" type="noConversion"/>
  </si>
  <si>
    <t>生产线</t>
    <phoneticPr fontId="11" type="noConversion"/>
  </si>
  <si>
    <t>工位号</t>
    <phoneticPr fontId="11" type="noConversion"/>
  </si>
  <si>
    <t>工位名称</t>
    <phoneticPr fontId="11" type="noConversion"/>
  </si>
  <si>
    <t>岗位</t>
    <phoneticPr fontId="9" type="noConversion"/>
  </si>
  <si>
    <t>班组</t>
    <phoneticPr fontId="11" type="noConversion"/>
  </si>
  <si>
    <t>12JPH定额</t>
    <phoneticPr fontId="11" type="noConversion"/>
  </si>
  <si>
    <t>16JPH定额</t>
    <phoneticPr fontId="11" type="noConversion"/>
  </si>
  <si>
    <t>20JPH定额</t>
    <phoneticPr fontId="11" type="noConversion"/>
  </si>
  <si>
    <t>备注</t>
    <phoneticPr fontId="11" type="noConversion"/>
  </si>
  <si>
    <t>前地板分装线</t>
    <phoneticPr fontId="8" type="noConversion"/>
  </si>
  <si>
    <t>前地板1#</t>
    <phoneticPr fontId="11" type="noConversion"/>
  </si>
  <si>
    <t>装焊工</t>
    <phoneticPr fontId="9" type="noConversion"/>
  </si>
  <si>
    <t>地板班</t>
    <phoneticPr fontId="11" type="noConversion"/>
  </si>
  <si>
    <t>前地板2#</t>
    <phoneticPr fontId="11" type="noConversion"/>
  </si>
  <si>
    <t>小结</t>
    <phoneticPr fontId="8" type="noConversion"/>
  </si>
  <si>
    <t>前围板分装线</t>
    <phoneticPr fontId="9" type="noConversion"/>
  </si>
  <si>
    <t>装焊工</t>
    <phoneticPr fontId="9" type="noConversion"/>
  </si>
  <si>
    <t>地板班</t>
    <phoneticPr fontId="11" type="noConversion"/>
  </si>
  <si>
    <t>W1HP4-010</t>
    <phoneticPr fontId="9" type="noConversion"/>
  </si>
  <si>
    <t>空气室1#</t>
    <phoneticPr fontId="9" type="noConversion"/>
  </si>
  <si>
    <t>装焊工</t>
    <phoneticPr fontId="9" type="noConversion"/>
  </si>
  <si>
    <t>地板班</t>
    <phoneticPr fontId="11" type="noConversion"/>
  </si>
  <si>
    <t>W1HP4-020</t>
    <phoneticPr fontId="9" type="noConversion"/>
  </si>
  <si>
    <t>空气室2#</t>
    <phoneticPr fontId="9" type="noConversion"/>
  </si>
  <si>
    <t>装焊工</t>
    <phoneticPr fontId="9" type="noConversion"/>
  </si>
  <si>
    <t>地板班</t>
    <phoneticPr fontId="11" type="noConversion"/>
  </si>
  <si>
    <t>小结</t>
    <phoneticPr fontId="8" type="noConversion"/>
  </si>
  <si>
    <t>后地板分装线</t>
    <phoneticPr fontId="8" type="noConversion"/>
  </si>
  <si>
    <t>后纵梁总成1#-左</t>
    <phoneticPr fontId="9" type="noConversion"/>
  </si>
  <si>
    <t>W1RR4-020L</t>
    <phoneticPr fontId="9" type="noConversion"/>
  </si>
  <si>
    <t>后纵梁总成2#-左</t>
    <phoneticPr fontId="9" type="noConversion"/>
  </si>
  <si>
    <t>W1RR4-010R</t>
    <phoneticPr fontId="9" type="noConversion"/>
  </si>
  <si>
    <t>后纵梁总成1#-右</t>
    <phoneticPr fontId="9" type="noConversion"/>
  </si>
  <si>
    <t>W1RR4-020R</t>
    <phoneticPr fontId="9" type="noConversion"/>
  </si>
  <si>
    <t>后纵梁总成2#-右</t>
    <phoneticPr fontId="9" type="noConversion"/>
  </si>
  <si>
    <t>后地板4#</t>
    <phoneticPr fontId="11" type="noConversion"/>
  </si>
  <si>
    <t>后地板5#</t>
    <phoneticPr fontId="11" type="noConversion"/>
  </si>
  <si>
    <t>后地板6#</t>
    <phoneticPr fontId="11" type="noConversion"/>
  </si>
  <si>
    <t>后地板7#</t>
    <phoneticPr fontId="11" type="noConversion"/>
  </si>
  <si>
    <t>后地板8#</t>
    <phoneticPr fontId="11" type="noConversion"/>
  </si>
  <si>
    <t>后地板9#</t>
    <phoneticPr fontId="11" type="noConversion"/>
  </si>
  <si>
    <t>后地板10#</t>
    <phoneticPr fontId="11" type="noConversion"/>
  </si>
  <si>
    <t>小结</t>
  </si>
  <si>
    <t>前纵梁线</t>
    <phoneticPr fontId="9" type="noConversion"/>
  </si>
  <si>
    <t>前纵梁右1#</t>
    <phoneticPr fontId="11" type="noConversion"/>
  </si>
  <si>
    <t>前纵梁右2#</t>
    <phoneticPr fontId="11" type="noConversion"/>
  </si>
  <si>
    <t>前纵梁右3#</t>
    <phoneticPr fontId="11" type="noConversion"/>
  </si>
  <si>
    <t>前纵梁右4#</t>
    <phoneticPr fontId="11" type="noConversion"/>
  </si>
  <si>
    <t>前纵梁左1#</t>
    <phoneticPr fontId="11" type="noConversion"/>
  </si>
  <si>
    <t>前纵梁左2#</t>
    <phoneticPr fontId="11" type="noConversion"/>
  </si>
  <si>
    <t>前纵梁左3#</t>
    <phoneticPr fontId="11" type="noConversion"/>
  </si>
  <si>
    <t>前纵梁左4#</t>
    <phoneticPr fontId="11" type="noConversion"/>
  </si>
  <si>
    <t>小结</t>
    <phoneticPr fontId="8" type="noConversion"/>
  </si>
  <si>
    <t>小计</t>
    <phoneticPr fontId="9" type="noConversion"/>
  </si>
  <si>
    <t>左侧围分装线</t>
    <phoneticPr fontId="8" type="noConversion"/>
  </si>
  <si>
    <t>W1BSI4-010L</t>
  </si>
  <si>
    <t>侧围班</t>
    <phoneticPr fontId="9" type="noConversion"/>
  </si>
  <si>
    <t>W1BSI4-020L</t>
  </si>
  <si>
    <t>C柱内板总成合件-左</t>
    <phoneticPr fontId="8" type="noConversion"/>
  </si>
  <si>
    <t>W1BSI4-030L</t>
  </si>
  <si>
    <t>W1BSI4-040L</t>
  </si>
  <si>
    <t>C柱加强板总成-左</t>
    <phoneticPr fontId="9" type="noConversion"/>
  </si>
  <si>
    <t>W1BSI4-110L</t>
  </si>
  <si>
    <t>尾灯盒总成-左</t>
    <phoneticPr fontId="9" type="noConversion"/>
  </si>
  <si>
    <t>W1BSI4-050L</t>
  </si>
  <si>
    <t>W1BSI4-060L</t>
  </si>
  <si>
    <t>W1BSI4-070L</t>
  </si>
  <si>
    <t>W1BSI4-080L</t>
  </si>
  <si>
    <t>后侧围内板分总成-左</t>
    <phoneticPr fontId="8" type="noConversion"/>
  </si>
  <si>
    <t>W1BSI4-090L</t>
  </si>
  <si>
    <t>后侧围内板总成-左</t>
    <phoneticPr fontId="8" type="noConversion"/>
  </si>
  <si>
    <t>W1BSI4-100L</t>
  </si>
  <si>
    <t>右侧围分装线</t>
    <phoneticPr fontId="9" type="noConversion"/>
  </si>
  <si>
    <t>W1BSI4-010R</t>
  </si>
  <si>
    <t>后轮罩外板总成-右</t>
    <phoneticPr fontId="9" type="noConversion"/>
  </si>
  <si>
    <t>W1BSI4-020R</t>
  </si>
  <si>
    <t>C柱内板总成合件-右</t>
    <phoneticPr fontId="8" type="noConversion"/>
  </si>
  <si>
    <t>装焊工</t>
    <phoneticPr fontId="9" type="noConversion"/>
  </si>
  <si>
    <t>侧围班</t>
    <phoneticPr fontId="9" type="noConversion"/>
  </si>
  <si>
    <t>W1BSI4-030R</t>
  </si>
  <si>
    <t>C柱内板总成-右</t>
    <phoneticPr fontId="9" type="noConversion"/>
  </si>
  <si>
    <t>W1BSI4-040R</t>
  </si>
  <si>
    <t>C柱加强板总成-右</t>
    <phoneticPr fontId="9" type="noConversion"/>
  </si>
  <si>
    <t>W1BSI4-110R</t>
  </si>
  <si>
    <t>W1BSI4-050R</t>
  </si>
  <si>
    <t>W1BSI4-060R</t>
  </si>
  <si>
    <t>W1BSI4-070R</t>
  </si>
  <si>
    <t>W1BSI4-080R</t>
  </si>
  <si>
    <t>W1BSI4-090R</t>
  </si>
  <si>
    <t>W1BSI4-100R</t>
  </si>
  <si>
    <t>左侧围自动线</t>
    <phoneticPr fontId="11" type="noConversion"/>
  </si>
  <si>
    <t>W1BS1-010L</t>
    <phoneticPr fontId="11" type="noConversion"/>
  </si>
  <si>
    <t>侧围外板-左对中工位</t>
    <phoneticPr fontId="11" type="noConversion"/>
  </si>
  <si>
    <t>自动线技能工</t>
  </si>
  <si>
    <t>W1BS1-020L</t>
    <phoneticPr fontId="11" type="noConversion"/>
  </si>
  <si>
    <t>侧围外板-左上件工位</t>
    <phoneticPr fontId="11" type="noConversion"/>
  </si>
  <si>
    <t>W1BS1-030L</t>
    <phoneticPr fontId="11" type="noConversion"/>
  </si>
  <si>
    <t>侧围外板总成-左上件工位</t>
    <phoneticPr fontId="11" type="noConversion"/>
  </si>
  <si>
    <t>W1BS1-040L</t>
    <phoneticPr fontId="11" type="noConversion"/>
  </si>
  <si>
    <t>侧围外板总成-左焊接涂胶工位</t>
    <phoneticPr fontId="11" type="noConversion"/>
  </si>
  <si>
    <t>W1BS1-050L</t>
    <phoneticPr fontId="11" type="noConversion"/>
  </si>
  <si>
    <t>侧围前部总成-左/右上件焊接工位</t>
    <phoneticPr fontId="11" type="noConversion"/>
  </si>
  <si>
    <t>W1BS1-060L</t>
    <phoneticPr fontId="11" type="noConversion"/>
  </si>
  <si>
    <t>后侧围内板总成总成-左/右上件焊接工位</t>
    <phoneticPr fontId="11" type="noConversion"/>
  </si>
  <si>
    <t>白车身钣金工</t>
    <phoneticPr fontId="9" type="noConversion"/>
  </si>
  <si>
    <t>W1BS1-070L</t>
    <phoneticPr fontId="11" type="noConversion"/>
  </si>
  <si>
    <t>W1BS1-080L</t>
    <phoneticPr fontId="11" type="noConversion"/>
  </si>
  <si>
    <t>W1BS1-090L</t>
    <phoneticPr fontId="11" type="noConversion"/>
  </si>
  <si>
    <t>右侧围自动线</t>
    <phoneticPr fontId="9" type="noConversion"/>
  </si>
  <si>
    <t>W1BS1-010R</t>
    <phoneticPr fontId="11" type="noConversion"/>
  </si>
  <si>
    <t>W1BS1-020R</t>
    <phoneticPr fontId="11" type="noConversion"/>
  </si>
  <si>
    <t>W1BS1-030R</t>
    <phoneticPr fontId="11" type="noConversion"/>
  </si>
  <si>
    <t>W1BS1-040R</t>
    <phoneticPr fontId="11" type="noConversion"/>
  </si>
  <si>
    <t>侧围外板总成-左/右焊接涂胶工位</t>
    <phoneticPr fontId="11" type="noConversion"/>
  </si>
  <si>
    <t>W1BS1-050R</t>
    <phoneticPr fontId="11" type="noConversion"/>
  </si>
  <si>
    <t>W1BS1-060R</t>
    <phoneticPr fontId="11" type="noConversion"/>
  </si>
  <si>
    <t>W1BS1-070R</t>
    <phoneticPr fontId="11" type="noConversion"/>
  </si>
  <si>
    <t>W1BS1-080R</t>
    <phoneticPr fontId="11" type="noConversion"/>
  </si>
  <si>
    <t>W1BS1-090R</t>
    <phoneticPr fontId="11" type="noConversion"/>
  </si>
  <si>
    <t>小计</t>
    <phoneticPr fontId="9" type="noConversion"/>
  </si>
  <si>
    <t>机舱自动线</t>
    <phoneticPr fontId="8" type="noConversion"/>
  </si>
  <si>
    <t>W1ER3-010</t>
    <phoneticPr fontId="11" type="noConversion"/>
  </si>
  <si>
    <t>前机舱总成人工上件</t>
    <phoneticPr fontId="8" type="noConversion"/>
  </si>
  <si>
    <t>自动线技能工</t>
    <phoneticPr fontId="9" type="noConversion"/>
  </si>
  <si>
    <t>W1ER3-020</t>
    <phoneticPr fontId="11" type="noConversion"/>
  </si>
  <si>
    <t>前机舱总成焊接</t>
    <phoneticPr fontId="8" type="noConversion"/>
  </si>
  <si>
    <t>机器人</t>
    <phoneticPr fontId="9" type="noConversion"/>
  </si>
  <si>
    <t>W1ER3-030</t>
    <phoneticPr fontId="11" type="noConversion"/>
  </si>
  <si>
    <t>左右A柱挡板总成上件</t>
    <phoneticPr fontId="8" type="noConversion"/>
  </si>
  <si>
    <t>W1ER3-040</t>
    <phoneticPr fontId="11" type="noConversion"/>
  </si>
  <si>
    <t>下车体前部总成焊接</t>
    <phoneticPr fontId="8" type="noConversion"/>
  </si>
  <si>
    <t>W1ER3-050</t>
    <phoneticPr fontId="11" type="noConversion"/>
  </si>
  <si>
    <t>前地板总成上件</t>
    <phoneticPr fontId="8" type="noConversion"/>
  </si>
  <si>
    <t>自动线技能工</t>
    <phoneticPr fontId="9" type="noConversion"/>
  </si>
  <si>
    <t>W1ER3-060</t>
    <phoneticPr fontId="11" type="noConversion"/>
  </si>
  <si>
    <t>W1ER3-070</t>
    <phoneticPr fontId="11" type="noConversion"/>
  </si>
  <si>
    <t>下车体前部总成焊接</t>
    <phoneticPr fontId="8" type="noConversion"/>
  </si>
  <si>
    <t>机器人</t>
    <phoneticPr fontId="9" type="noConversion"/>
  </si>
  <si>
    <t>W1ER3-080</t>
    <phoneticPr fontId="11" type="noConversion"/>
  </si>
  <si>
    <t>UB线</t>
    <phoneticPr fontId="9" type="noConversion"/>
  </si>
  <si>
    <t>W1UB-030</t>
    <phoneticPr fontId="11" type="noConversion"/>
  </si>
  <si>
    <t>机舱前地板、后地板上件</t>
    <phoneticPr fontId="11" type="noConversion"/>
  </si>
  <si>
    <t>W1UB-040</t>
    <phoneticPr fontId="11" type="noConversion"/>
  </si>
  <si>
    <t>补焊工位</t>
    <phoneticPr fontId="11" type="noConversion"/>
  </si>
  <si>
    <t>W1UB-050</t>
    <phoneticPr fontId="11" type="noConversion"/>
  </si>
  <si>
    <t>空气室总成上件</t>
    <phoneticPr fontId="11" type="noConversion"/>
  </si>
  <si>
    <t>W1UB-060</t>
    <phoneticPr fontId="11" type="noConversion"/>
  </si>
  <si>
    <t>下车体补焊工位</t>
    <phoneticPr fontId="9" type="noConversion"/>
  </si>
  <si>
    <t>W1UB-070</t>
    <phoneticPr fontId="11" type="noConversion"/>
  </si>
  <si>
    <t>后围总成上件</t>
    <phoneticPr fontId="11" type="noConversion"/>
  </si>
  <si>
    <t>W1UB-080</t>
    <phoneticPr fontId="11" type="noConversion"/>
  </si>
  <si>
    <t>W1UB-090</t>
    <phoneticPr fontId="11" type="noConversion"/>
  </si>
  <si>
    <t>W1UB-100</t>
    <phoneticPr fontId="9" type="noConversion"/>
  </si>
  <si>
    <t>下车体植焊工位</t>
    <phoneticPr fontId="9" type="noConversion"/>
  </si>
  <si>
    <t>MB1线</t>
    <phoneticPr fontId="8" type="noConversion"/>
  </si>
  <si>
    <t>W1MB-020</t>
    <phoneticPr fontId="8" type="noConversion"/>
  </si>
  <si>
    <t>强度检查</t>
    <phoneticPr fontId="9" type="noConversion"/>
  </si>
  <si>
    <t>侧围班</t>
    <phoneticPr fontId="11" type="noConversion"/>
  </si>
  <si>
    <t>W1MB-030</t>
    <phoneticPr fontId="8" type="noConversion"/>
  </si>
  <si>
    <t>前防撞梁安装组件、翼子板支架人工焊接</t>
    <phoneticPr fontId="9" type="noConversion"/>
  </si>
  <si>
    <t>W1MB-110</t>
    <phoneticPr fontId="8" type="noConversion"/>
  </si>
  <si>
    <t>侧围及前后横梁预拼工位</t>
    <phoneticPr fontId="9" type="noConversion"/>
  </si>
  <si>
    <t>W1MB-120</t>
    <phoneticPr fontId="11" type="noConversion"/>
  </si>
  <si>
    <t>侧围预搭扣、强度检查工位</t>
    <phoneticPr fontId="9" type="noConversion"/>
  </si>
  <si>
    <t>W1MB-140</t>
    <phoneticPr fontId="11" type="noConversion"/>
  </si>
  <si>
    <t>W1MB-160</t>
    <phoneticPr fontId="11" type="noConversion"/>
  </si>
  <si>
    <t>车身补焊工位</t>
    <phoneticPr fontId="9" type="noConversion"/>
  </si>
  <si>
    <t>W1MB-180</t>
    <phoneticPr fontId="11" type="noConversion"/>
  </si>
  <si>
    <t>W1MB-190</t>
    <phoneticPr fontId="11" type="noConversion"/>
  </si>
  <si>
    <t>W1MB-200</t>
    <phoneticPr fontId="11" type="noConversion"/>
  </si>
  <si>
    <t>W1MB-210</t>
    <phoneticPr fontId="11" type="noConversion"/>
  </si>
  <si>
    <t>W1MB-220</t>
    <phoneticPr fontId="11" type="noConversion"/>
  </si>
  <si>
    <t>MB2线</t>
    <phoneticPr fontId="9" type="noConversion"/>
  </si>
  <si>
    <t>W1MB-250</t>
    <phoneticPr fontId="11" type="noConversion"/>
  </si>
  <si>
    <t>W1MB-260</t>
    <phoneticPr fontId="11" type="noConversion"/>
  </si>
  <si>
    <t>W1MB-270</t>
    <phoneticPr fontId="11" type="noConversion"/>
  </si>
  <si>
    <t>W1MB-280</t>
    <phoneticPr fontId="11" type="noConversion"/>
  </si>
  <si>
    <t>W1MB-290</t>
    <phoneticPr fontId="11" type="noConversion"/>
  </si>
  <si>
    <t>W1FL-010</t>
    <phoneticPr fontId="9" type="noConversion"/>
  </si>
  <si>
    <t>顶盖</t>
    <phoneticPr fontId="9" type="noConversion"/>
  </si>
  <si>
    <t>W1RA3-010</t>
    <phoneticPr fontId="11" type="noConversion"/>
  </si>
  <si>
    <t>顶盖总成（天窗、非天窗）</t>
    <phoneticPr fontId="11" type="noConversion"/>
  </si>
  <si>
    <t>W1RA3-020</t>
    <phoneticPr fontId="11" type="noConversion"/>
  </si>
  <si>
    <t>顶盖总成（非天窗）</t>
  </si>
  <si>
    <t>W1RA3-030</t>
    <phoneticPr fontId="11" type="noConversion"/>
  </si>
  <si>
    <t>顶盖总成检查</t>
    <phoneticPr fontId="11" type="noConversion"/>
  </si>
  <si>
    <t>白车身钣金工</t>
    <phoneticPr fontId="9" type="noConversion"/>
  </si>
  <si>
    <t>行李箱盖</t>
    <phoneticPr fontId="8" type="noConversion"/>
  </si>
  <si>
    <t>W1BD1-010</t>
  </si>
  <si>
    <t>尾门内板分总成点定</t>
    <phoneticPr fontId="8" type="noConversion"/>
  </si>
  <si>
    <t>装焊工</t>
  </si>
  <si>
    <t>开闭件班</t>
    <phoneticPr fontId="11" type="noConversion"/>
  </si>
  <si>
    <t>W1BD1-020</t>
  </si>
  <si>
    <t>尾门内板总成点定</t>
    <phoneticPr fontId="8" type="noConversion"/>
  </si>
  <si>
    <t>W1BD1-025</t>
  </si>
  <si>
    <t>尾门内板总成补焊</t>
    <phoneticPr fontId="8" type="noConversion"/>
  </si>
  <si>
    <t>W1BD1-030</t>
  </si>
  <si>
    <t>尾门外板总成点定</t>
    <phoneticPr fontId="8" type="noConversion"/>
  </si>
  <si>
    <t>W1BD1-035</t>
  </si>
  <si>
    <t>尾门外板总成补焊</t>
    <phoneticPr fontId="8" type="noConversion"/>
  </si>
  <si>
    <t>W1BD1-040</t>
  </si>
  <si>
    <t>尾门内外板上件、涂胶</t>
    <phoneticPr fontId="11" type="noConversion"/>
  </si>
  <si>
    <t>W1BD1-050</t>
  </si>
  <si>
    <t>尾门总成滚边</t>
    <phoneticPr fontId="11" type="noConversion"/>
  </si>
  <si>
    <t>W1BD1-060</t>
  </si>
  <si>
    <t>尾门总成机器人补焊</t>
    <phoneticPr fontId="11" type="noConversion"/>
  </si>
  <si>
    <t>W1BD1-065</t>
  </si>
  <si>
    <t>尾门总成人工补焊</t>
    <phoneticPr fontId="11" type="noConversion"/>
  </si>
  <si>
    <t>W1BD1-070</t>
  </si>
  <si>
    <t>尾门总成下件</t>
    <phoneticPr fontId="11" type="noConversion"/>
  </si>
  <si>
    <t>白车身钣金工（主修）</t>
    <phoneticPr fontId="9" type="noConversion"/>
  </si>
  <si>
    <t>发盖</t>
    <phoneticPr fontId="9" type="noConversion"/>
  </si>
  <si>
    <t>W1HD1-010</t>
  </si>
  <si>
    <t>发动机盖内板总成点定</t>
    <phoneticPr fontId="9" type="noConversion"/>
  </si>
  <si>
    <t>W1HD1-015</t>
  </si>
  <si>
    <t>发动机盖内板总成补焊</t>
    <phoneticPr fontId="9" type="noConversion"/>
  </si>
  <si>
    <t>W1HD1-020</t>
  </si>
  <si>
    <t>发动机盖内板涂胶上件工位</t>
    <phoneticPr fontId="11" type="noConversion"/>
  </si>
  <si>
    <t>W1HD1-030</t>
  </si>
  <si>
    <t>发动机盖滚边</t>
    <phoneticPr fontId="11" type="noConversion"/>
  </si>
  <si>
    <t>W1HD1-040</t>
  </si>
  <si>
    <t>发动机盖下件工位</t>
    <phoneticPr fontId="11" type="noConversion"/>
  </si>
  <si>
    <t>左前门</t>
    <phoneticPr fontId="9" type="noConversion"/>
  </si>
  <si>
    <t>W1FD2-050L</t>
    <phoneticPr fontId="11" type="noConversion"/>
  </si>
  <si>
    <t>左前门滚边</t>
    <phoneticPr fontId="11" type="noConversion"/>
  </si>
  <si>
    <t>W1FD2-060L</t>
    <phoneticPr fontId="11" type="noConversion"/>
  </si>
  <si>
    <t>左前门机器人补焊</t>
    <phoneticPr fontId="11" type="noConversion"/>
  </si>
  <si>
    <t>W1FD2-070L</t>
    <phoneticPr fontId="11" type="noConversion"/>
  </si>
  <si>
    <t>左前门总成下件检查</t>
    <phoneticPr fontId="11" type="noConversion"/>
  </si>
  <si>
    <t>开闭件班</t>
    <phoneticPr fontId="11" type="noConversion"/>
  </si>
  <si>
    <t>右前门</t>
    <phoneticPr fontId="9" type="noConversion"/>
  </si>
  <si>
    <t>W1FD1-010R</t>
    <phoneticPr fontId="9" type="noConversion"/>
  </si>
  <si>
    <t>W1FD1-020R</t>
    <phoneticPr fontId="9" type="noConversion"/>
  </si>
  <si>
    <t>W1FD1-030R</t>
    <phoneticPr fontId="9" type="noConversion"/>
  </si>
  <si>
    <t>W1FD2-040R</t>
    <phoneticPr fontId="9" type="noConversion"/>
  </si>
  <si>
    <t>W1FD2-050R</t>
    <phoneticPr fontId="11" type="noConversion"/>
  </si>
  <si>
    <t>右前门滚边</t>
    <phoneticPr fontId="11" type="noConversion"/>
  </si>
  <si>
    <t>W1FD2-060R</t>
    <phoneticPr fontId="11" type="noConversion"/>
  </si>
  <si>
    <t>右前门机器人补焊</t>
    <phoneticPr fontId="11" type="noConversion"/>
  </si>
  <si>
    <t>W1FD2-070R</t>
    <phoneticPr fontId="11" type="noConversion"/>
  </si>
  <si>
    <t>右前门总成下件检查</t>
    <phoneticPr fontId="11" type="noConversion"/>
  </si>
  <si>
    <t>左后门</t>
    <phoneticPr fontId="9" type="noConversion"/>
  </si>
  <si>
    <t>W1RD2-030L</t>
    <phoneticPr fontId="9" type="noConversion"/>
  </si>
  <si>
    <t>左后门上件、涂胶</t>
    <phoneticPr fontId="11" type="noConversion"/>
  </si>
  <si>
    <t>W1RD2-040L</t>
    <phoneticPr fontId="9" type="noConversion"/>
  </si>
  <si>
    <t>左后门滚边</t>
    <phoneticPr fontId="11" type="noConversion"/>
  </si>
  <si>
    <t>W1RD2-050L</t>
    <phoneticPr fontId="9" type="noConversion"/>
  </si>
  <si>
    <t>左后门补焊</t>
    <phoneticPr fontId="11" type="noConversion"/>
  </si>
  <si>
    <t>W1RD2-060L</t>
    <phoneticPr fontId="9" type="noConversion"/>
  </si>
  <si>
    <t>左后门钣金总成检查</t>
    <phoneticPr fontId="11" type="noConversion"/>
  </si>
  <si>
    <t>右后门</t>
    <phoneticPr fontId="9" type="noConversion"/>
  </si>
  <si>
    <t>W1RD1-010R</t>
    <phoneticPr fontId="9" type="noConversion"/>
  </si>
  <si>
    <t>右后门内板分总成点定</t>
    <phoneticPr fontId="9" type="noConversion"/>
  </si>
  <si>
    <t>CO2焊工</t>
    <phoneticPr fontId="9" type="noConversion"/>
  </si>
  <si>
    <t>W1RD1-015R</t>
    <phoneticPr fontId="9" type="noConversion"/>
  </si>
  <si>
    <t>右后门内板分总成补焊</t>
    <phoneticPr fontId="9" type="noConversion"/>
  </si>
  <si>
    <t>W1RD1-020R</t>
    <phoneticPr fontId="9" type="noConversion"/>
  </si>
  <si>
    <t>右后门内板总成</t>
    <phoneticPr fontId="9" type="noConversion"/>
  </si>
  <si>
    <t>开闭件班</t>
    <phoneticPr fontId="11" type="noConversion"/>
  </si>
  <si>
    <t>W1RD2-030R</t>
    <phoneticPr fontId="9" type="noConversion"/>
  </si>
  <si>
    <t>右后门上件</t>
    <phoneticPr fontId="11" type="noConversion"/>
  </si>
  <si>
    <t>白车身钣金工</t>
    <phoneticPr fontId="9" type="noConversion"/>
  </si>
  <si>
    <t>W1RD2-040R</t>
    <phoneticPr fontId="9" type="noConversion"/>
  </si>
  <si>
    <t>W1RD2-050R</t>
    <phoneticPr fontId="9" type="noConversion"/>
  </si>
  <si>
    <t>W1RD2-060R</t>
    <phoneticPr fontId="9" type="noConversion"/>
  </si>
  <si>
    <t>右后门钣金总成检查</t>
    <phoneticPr fontId="11" type="noConversion"/>
  </si>
  <si>
    <t>小结</t>
    <phoneticPr fontId="8" type="noConversion"/>
  </si>
  <si>
    <t>小计</t>
    <phoneticPr fontId="9" type="noConversion"/>
  </si>
  <si>
    <t>CO2焊</t>
    <phoneticPr fontId="8" type="noConversion"/>
  </si>
  <si>
    <t>W1FL-020</t>
    <phoneticPr fontId="11" type="noConversion"/>
  </si>
  <si>
    <t>CO2焊#1</t>
    <phoneticPr fontId="9" type="noConversion"/>
  </si>
  <si>
    <t>CO2焊工</t>
  </si>
  <si>
    <t>装调班</t>
    <phoneticPr fontId="11" type="noConversion"/>
  </si>
  <si>
    <t>W1FL-030</t>
    <phoneticPr fontId="11" type="noConversion"/>
  </si>
  <si>
    <t>CO2焊#2</t>
    <phoneticPr fontId="9" type="noConversion"/>
  </si>
  <si>
    <t>装调班</t>
    <phoneticPr fontId="11" type="noConversion"/>
  </si>
  <si>
    <t>装调线</t>
    <phoneticPr fontId="9" type="noConversion"/>
  </si>
  <si>
    <t>W1FL-060</t>
    <phoneticPr fontId="11" type="noConversion"/>
  </si>
  <si>
    <t>打磨</t>
    <phoneticPr fontId="11" type="noConversion"/>
  </si>
  <si>
    <t>白车身精调工</t>
  </si>
  <si>
    <t>增加内间隙调整作业人员</t>
    <phoneticPr fontId="9" type="noConversion"/>
  </si>
  <si>
    <t>W1FL-070</t>
    <phoneticPr fontId="11" type="noConversion"/>
  </si>
  <si>
    <t>小件安装#1</t>
    <phoneticPr fontId="11" type="noConversion"/>
  </si>
  <si>
    <t>装调班</t>
    <phoneticPr fontId="11" type="noConversion"/>
  </si>
  <si>
    <t>W1FL-080</t>
    <phoneticPr fontId="11" type="noConversion"/>
  </si>
  <si>
    <t>小件安装#2</t>
    <phoneticPr fontId="9" type="noConversion"/>
  </si>
  <si>
    <t>W1FL-090</t>
    <phoneticPr fontId="11" type="noConversion"/>
  </si>
  <si>
    <t>后背门安装</t>
    <phoneticPr fontId="11" type="noConversion"/>
  </si>
  <si>
    <t>W1FL-100</t>
    <phoneticPr fontId="11" type="noConversion"/>
  </si>
  <si>
    <t>后门钣金总成安装</t>
    <phoneticPr fontId="11" type="noConversion"/>
  </si>
  <si>
    <t>W1FL-110</t>
    <phoneticPr fontId="11" type="noConversion"/>
  </si>
  <si>
    <t>前门钣金总成安装</t>
    <phoneticPr fontId="11" type="noConversion"/>
  </si>
  <si>
    <t>W1FL-120</t>
    <phoneticPr fontId="11" type="noConversion"/>
  </si>
  <si>
    <t>翼子板安装</t>
    <phoneticPr fontId="11" type="noConversion"/>
  </si>
  <si>
    <t>W1FL-130</t>
    <phoneticPr fontId="11" type="noConversion"/>
  </si>
  <si>
    <t>机盖安装</t>
    <phoneticPr fontId="11" type="noConversion"/>
  </si>
  <si>
    <t>W1FL-140</t>
    <phoneticPr fontId="11" type="noConversion"/>
  </si>
  <si>
    <t>精调</t>
    <phoneticPr fontId="11" type="noConversion"/>
  </si>
  <si>
    <t>白车身精调工（主修）</t>
    <phoneticPr fontId="9" type="noConversion"/>
  </si>
  <si>
    <t>W1FL-150</t>
    <phoneticPr fontId="11" type="noConversion"/>
  </si>
  <si>
    <t>出车检查</t>
    <phoneticPr fontId="11" type="noConversion"/>
  </si>
  <si>
    <t>白车身精调工</t>
    <phoneticPr fontId="9" type="noConversion"/>
  </si>
  <si>
    <t>最终线</t>
    <phoneticPr fontId="9" type="noConversion"/>
  </si>
  <si>
    <t>W1FL-210</t>
    <phoneticPr fontId="11" type="noConversion"/>
  </si>
  <si>
    <t>顶盖外观检查</t>
    <phoneticPr fontId="11" type="noConversion"/>
  </si>
  <si>
    <t>车身线检工</t>
  </si>
  <si>
    <t>W1FL-220</t>
    <phoneticPr fontId="11" type="noConversion"/>
  </si>
  <si>
    <t>检查#1</t>
    <phoneticPr fontId="11" type="noConversion"/>
  </si>
  <si>
    <t>W1FL-230</t>
    <phoneticPr fontId="11" type="noConversion"/>
  </si>
  <si>
    <t>检查#2</t>
    <phoneticPr fontId="11" type="noConversion"/>
  </si>
  <si>
    <t>W1FL-240</t>
    <phoneticPr fontId="11" type="noConversion"/>
  </si>
  <si>
    <t>返修#1</t>
    <phoneticPr fontId="11" type="noConversion"/>
  </si>
  <si>
    <t>白车身钣金工</t>
  </si>
  <si>
    <t>W1FL-250</t>
    <phoneticPr fontId="11" type="noConversion"/>
  </si>
  <si>
    <t>返修#2</t>
    <phoneticPr fontId="11" type="noConversion"/>
  </si>
  <si>
    <t>W1FL-270</t>
    <phoneticPr fontId="11" type="noConversion"/>
  </si>
  <si>
    <t>清理</t>
    <phoneticPr fontId="11" type="noConversion"/>
  </si>
  <si>
    <t>W1FL-280</t>
    <phoneticPr fontId="11" type="noConversion"/>
  </si>
  <si>
    <t>终检</t>
    <phoneticPr fontId="11" type="noConversion"/>
  </si>
  <si>
    <t>W1FL-310</t>
    <phoneticPr fontId="11" type="noConversion"/>
  </si>
  <si>
    <t>大物返修</t>
    <phoneticPr fontId="11" type="noConversion"/>
  </si>
  <si>
    <t>白车身钣金工（主修）</t>
    <phoneticPr fontId="9" type="noConversion"/>
  </si>
  <si>
    <t>涂装外修</t>
    <phoneticPr fontId="11" type="noConversion"/>
  </si>
  <si>
    <t>W1WL-010</t>
    <phoneticPr fontId="9" type="noConversion"/>
  </si>
  <si>
    <t>电泳</t>
    <phoneticPr fontId="9" type="noConversion"/>
  </si>
  <si>
    <t>涂装钣金工</t>
    <phoneticPr fontId="9" type="noConversion"/>
  </si>
  <si>
    <t>W1WL-020</t>
    <phoneticPr fontId="9" type="noConversion"/>
  </si>
  <si>
    <t>中涂</t>
    <phoneticPr fontId="9" type="noConversion"/>
  </si>
  <si>
    <t>总装外修</t>
    <phoneticPr fontId="9" type="noConversion"/>
  </si>
  <si>
    <t>W1WL-030</t>
    <phoneticPr fontId="9" type="noConversion"/>
  </si>
  <si>
    <t>四门调整</t>
    <phoneticPr fontId="9" type="noConversion"/>
  </si>
  <si>
    <t>总装钣金工</t>
    <phoneticPr fontId="9" type="noConversion"/>
  </si>
  <si>
    <t>W1WL-040</t>
    <phoneticPr fontId="9" type="noConversion"/>
  </si>
  <si>
    <t>线上返修</t>
    <phoneticPr fontId="9" type="noConversion"/>
  </si>
  <si>
    <t>W1WL-050</t>
    <phoneticPr fontId="9" type="noConversion"/>
  </si>
  <si>
    <t>线下返修</t>
    <phoneticPr fontId="9" type="noConversion"/>
  </si>
  <si>
    <t>W1WL-060</t>
    <phoneticPr fontId="9" type="noConversion"/>
  </si>
  <si>
    <t>PDI返修</t>
    <phoneticPr fontId="9" type="noConversion"/>
  </si>
  <si>
    <t>合计</t>
    <phoneticPr fontId="8" type="noConversion"/>
  </si>
  <si>
    <t>左侧围分装线</t>
  </si>
  <si>
    <t>右侧围分装线</t>
  </si>
  <si>
    <t>右侧围分装线</t>
    <phoneticPr fontId="8" type="noConversion"/>
  </si>
  <si>
    <t>右侧围自动线</t>
    <phoneticPr fontId="8" type="noConversion"/>
  </si>
  <si>
    <t>左侧围自动线</t>
    <phoneticPr fontId="8" type="noConversion"/>
  </si>
  <si>
    <t>线体</t>
    <phoneticPr fontId="8" type="noConversion"/>
  </si>
  <si>
    <t>工位号</t>
    <phoneticPr fontId="8" type="noConversion"/>
  </si>
  <si>
    <t>工位名称</t>
    <phoneticPr fontId="8" type="noConversion"/>
  </si>
  <si>
    <t>W1UB-030</t>
  </si>
  <si>
    <t>W1BS1-010L</t>
  </si>
  <si>
    <t>W1BS1-030L</t>
  </si>
  <si>
    <t>W1BS1-050L</t>
  </si>
  <si>
    <t>W1BS1-010R</t>
  </si>
  <si>
    <t>W1BS1-030R</t>
  </si>
  <si>
    <t>W1BS1-050R</t>
  </si>
  <si>
    <t>W1MB-030</t>
  </si>
  <si>
    <t>W1MB-110</t>
  </si>
  <si>
    <t>W1MB-140</t>
  </si>
  <si>
    <t>W1MB-180</t>
  </si>
  <si>
    <t>W1MB-220</t>
  </si>
  <si>
    <t>W1MB-210</t>
  </si>
  <si>
    <t>W1MB-250</t>
  </si>
  <si>
    <t>W1MB-260</t>
  </si>
  <si>
    <t>W1MB-270</t>
  </si>
  <si>
    <t>W1MB-290</t>
  </si>
  <si>
    <t>W1FL-020</t>
  </si>
  <si>
    <t>W1RR4-010L</t>
  </si>
  <si>
    <t>W1RD2-040L</t>
  </si>
  <si>
    <t>W1RD2-040R</t>
  </si>
  <si>
    <t>V3</t>
    <phoneticPr fontId="16" type="noConversion"/>
  </si>
  <si>
    <t>1、更新了最新的工位清单
2、问题记录导入到汇总表，形成问题记录底图</t>
    <phoneticPr fontId="16" type="noConversion"/>
  </si>
  <si>
    <t>B级</t>
    <phoneticPr fontId="8" type="noConversion"/>
  </si>
  <si>
    <t>C级</t>
    <phoneticPr fontId="8" type="noConversion"/>
  </si>
  <si>
    <t>FF50打胶导向辅具，打开时容易打到手，存在安全风险</t>
    <phoneticPr fontId="8" type="noConversion"/>
  </si>
  <si>
    <t>FU10L/R打胶导向辅具，打开时容易打到手，存在安全风险</t>
    <phoneticPr fontId="8" type="noConversion"/>
  </si>
  <si>
    <t>DA50打胶导向辅具，打开时容易打到手，存在安全风险</t>
    <phoneticPr fontId="8" type="noConversion"/>
  </si>
  <si>
    <t>增加辅具限位，限制打开角度</t>
    <phoneticPr fontId="8" type="noConversion"/>
  </si>
  <si>
    <t>①取消外协焊接，转为厂内焊接RF100工位焊接，增加螺柱导套
②将螺柱附近焊点（RF60)转移至RF70工位焊接，同时改变焊枪进枪方向，避免焊接过程中焊枪撞到螺柱</t>
    <phoneticPr fontId="8" type="noConversion"/>
  </si>
  <si>
    <t>验证转移焊点至自动线</t>
    <phoneticPr fontId="8" type="noConversion"/>
  </si>
  <si>
    <t>转移焊点至后工序，减少焊接困难焊点</t>
    <phoneticPr fontId="8" type="noConversion"/>
  </si>
  <si>
    <t>工艺优化节省出来的焊枪，暂不拆除，后续放置焊枪库</t>
    <phoneticPr fontId="8" type="noConversion"/>
  </si>
  <si>
    <t>生技</t>
    <phoneticPr fontId="8" type="noConversion"/>
  </si>
  <si>
    <t>制造</t>
    <phoneticPr fontId="8" type="noConversion"/>
  </si>
  <si>
    <t>威名达</t>
    <phoneticPr fontId="8" type="noConversion"/>
  </si>
  <si>
    <t>优化工位焊点均布</t>
    <phoneticPr fontId="8" type="noConversion"/>
  </si>
  <si>
    <t>①暂时借用RF100工位螺柱焊枪
②待厂家过来重新调试</t>
    <phoneticPr fontId="8" type="noConversion"/>
  </si>
  <si>
    <t>生管</t>
    <phoneticPr fontId="8" type="noConversion"/>
  </si>
  <si>
    <t>增加气动葫芦</t>
    <phoneticPr fontId="8" type="noConversion"/>
  </si>
  <si>
    <t>增加胶枪挂钩</t>
    <phoneticPr fontId="8" type="noConversion"/>
  </si>
  <si>
    <t>加装手柄开关</t>
    <phoneticPr fontId="8" type="noConversion"/>
  </si>
  <si>
    <t>FU40L/R吊具放件时，操作不方便</t>
    <phoneticPr fontId="8" type="noConversion"/>
  </si>
  <si>
    <t>优化吊具滑轨</t>
    <phoneticPr fontId="8" type="noConversion"/>
  </si>
  <si>
    <t>机</t>
    <phoneticPr fontId="8" type="noConversion"/>
  </si>
  <si>
    <t>吴红玲</t>
    <phoneticPr fontId="8" type="noConversion"/>
  </si>
  <si>
    <t>卓力腾飞</t>
    <phoneticPr fontId="8" type="noConversion"/>
  </si>
  <si>
    <t>生技</t>
    <phoneticPr fontId="8" type="noConversion"/>
  </si>
  <si>
    <t>左侧围分装线</t>
    <phoneticPr fontId="8" type="noConversion"/>
  </si>
  <si>
    <t>右侧围分装线</t>
    <phoneticPr fontId="8" type="noConversion"/>
  </si>
  <si>
    <t>中汽工程</t>
    <phoneticPr fontId="8" type="noConversion"/>
  </si>
  <si>
    <t>左侧围自动线</t>
    <phoneticPr fontId="8" type="noConversion"/>
  </si>
  <si>
    <t>设备科</t>
    <phoneticPr fontId="8" type="noConversion"/>
  </si>
  <si>
    <t>A级</t>
    <phoneticPr fontId="8" type="noConversion"/>
  </si>
  <si>
    <t>右侧围自动线</t>
    <phoneticPr fontId="8" type="noConversion"/>
  </si>
  <si>
    <t>君屹</t>
    <phoneticPr fontId="8" type="noConversion"/>
  </si>
  <si>
    <t>MB1线</t>
    <phoneticPr fontId="8" type="noConversion"/>
  </si>
  <si>
    <t>气缸偶发夹紧不到位；</t>
    <phoneticPr fontId="8" type="noConversion"/>
  </si>
  <si>
    <t>MB2线</t>
    <phoneticPr fontId="8" type="noConversion"/>
  </si>
  <si>
    <t>吴红玲</t>
    <phoneticPr fontId="8" type="noConversion"/>
  </si>
  <si>
    <t>作业工时不满足20JPH
焊点数量：59个
上件数量：7个
目前工时247s</t>
    <phoneticPr fontId="8" type="noConversion"/>
  </si>
  <si>
    <t>优化工位焊点均布</t>
    <phoneticPr fontId="8" type="noConversion"/>
  </si>
  <si>
    <t>生技</t>
    <phoneticPr fontId="8" type="noConversion"/>
  </si>
  <si>
    <t>制造</t>
    <phoneticPr fontId="8" type="noConversion"/>
  </si>
  <si>
    <t>左侧围分装线</t>
    <phoneticPr fontId="8" type="noConversion"/>
  </si>
  <si>
    <t>作业工时不满足20JPH
焊点数量：41个
上件数量：5个
打胶数量：1段
目前工时213s</t>
    <phoneticPr fontId="8" type="noConversion"/>
  </si>
  <si>
    <t>作业工时不满足20JPH
焊点数量：19个
上件数量：2个
打胶数量：1段
目前工时260s</t>
    <phoneticPr fontId="8" type="noConversion"/>
  </si>
  <si>
    <t>定人定岗,提升人员技能熟练度</t>
    <phoneticPr fontId="8" type="noConversion"/>
  </si>
  <si>
    <t>作业工时不满足20JPH
焊点数量：25个
上件数量：2个
打胶数量：1段
目前工时278s</t>
    <phoneticPr fontId="8" type="noConversion"/>
  </si>
  <si>
    <t>左右侧仅有的一个已调试料车有干涉部位，另一边无法使用；</t>
    <phoneticPr fontId="8" type="noConversion"/>
  </si>
  <si>
    <t>左/右后门铰链夹具定位销与侧围干涉</t>
    <phoneticPr fontId="8" type="noConversion"/>
  </si>
  <si>
    <t>跟进厂家调试进度,设备目前学习中</t>
    <phoneticPr fontId="8" type="noConversion"/>
  </si>
  <si>
    <t>周斌</t>
    <phoneticPr fontId="8" type="noConversion"/>
  </si>
  <si>
    <t>A1</t>
    <phoneticPr fontId="8" type="noConversion"/>
  </si>
  <si>
    <t>A2</t>
    <phoneticPr fontId="8" type="noConversion"/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</si>
  <si>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</si>
  <si>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</si>
  <si>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</si>
  <si>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</si>
  <si>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</si>
  <si>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</si>
  <si>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</si>
  <si>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</si>
  <si>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</si>
  <si>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</si>
  <si>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</si>
  <si>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</si>
  <si>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</si>
  <si>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</si>
  <si>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</si>
  <si>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</si>
  <si>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</si>
  <si>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</si>
  <si>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</si>
  <si>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</si>
  <si>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</si>
  <si>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</si>
  <si>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</si>
  <si>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</si>
  <si>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</si>
  <si>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</si>
  <si>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</si>
  <si>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</si>
  <si>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</si>
  <si>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</si>
  <si>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</si>
  <si>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</si>
  <si>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</si>
  <si>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</si>
  <si>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</si>
  <si>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</si>
  <si>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</si>
  <si>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</si>
  <si>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</si>
  <si>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</si>
  <si>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</si>
  <si>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</si>
  <si>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</si>
  <si>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</si>
  <si>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</si>
  <si>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</si>
  <si>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</si>
  <si>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B1</t>
    <phoneticPr fontId="8" type="noConversion"/>
  </si>
  <si>
    <t>B2</t>
    <phoneticPr fontId="8" type="noConversion"/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</si>
  <si>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</si>
  <si>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</si>
  <si>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</si>
  <si>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</si>
  <si>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</si>
  <si>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</si>
  <si>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</si>
  <si>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</si>
  <si>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</si>
  <si>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</si>
  <si>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</si>
  <si>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</si>
  <si>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</si>
  <si>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</si>
  <si>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</si>
  <si>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</si>
  <si>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</si>
  <si>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</si>
  <si>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</si>
  <si>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</si>
  <si>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</si>
  <si>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</si>
  <si>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</si>
  <si>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</si>
  <si>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</si>
  <si>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</si>
  <si>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</si>
  <si>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</si>
  <si>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</si>
  <si>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</si>
  <si>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</si>
  <si>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</si>
  <si>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</si>
  <si>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</si>
  <si>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</si>
  <si>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</si>
  <si>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</si>
  <si>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</si>
  <si>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</si>
  <si>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</si>
  <si>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</si>
  <si>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</si>
  <si>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</si>
  <si>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</si>
  <si>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</si>
  <si>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</si>
  <si>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</si>
  <si>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</si>
  <si>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</si>
  <si>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</si>
  <si>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</si>
  <si>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</si>
  <si>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</si>
  <si>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</si>
  <si>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</si>
  <si>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C1</t>
    <phoneticPr fontId="8" type="noConversion"/>
  </si>
  <si>
    <t>C2</t>
    <phoneticPr fontId="8" type="noConversion"/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</si>
  <si>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</si>
  <si>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</si>
  <si>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</si>
  <si>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</si>
  <si>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</si>
  <si>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</si>
  <si>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</si>
  <si>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</si>
  <si>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</si>
  <si>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</si>
  <si>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</si>
  <si>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</si>
  <si>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</si>
  <si>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D1</t>
    <phoneticPr fontId="8" type="noConversion"/>
  </si>
  <si>
    <t>D2</t>
    <phoneticPr fontId="8" type="noConversion"/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</si>
  <si>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</si>
  <si>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</si>
  <si>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</si>
  <si>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</si>
  <si>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</si>
  <si>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</si>
  <si>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</si>
  <si>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</si>
  <si>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</si>
  <si>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</si>
  <si>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</si>
  <si>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</si>
  <si>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</si>
  <si>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</si>
  <si>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</si>
  <si>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</si>
  <si>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</si>
  <si>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</si>
  <si>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</si>
  <si>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</si>
  <si>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</si>
  <si>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</si>
  <si>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</si>
  <si>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</si>
  <si>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</si>
  <si>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</si>
  <si>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</si>
  <si>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</si>
  <si>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</si>
  <si>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</si>
  <si>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</si>
  <si>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</si>
  <si>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</si>
  <si>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</si>
  <si>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</si>
  <si>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</si>
  <si>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</si>
  <si>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</si>
  <si>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</si>
  <si>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</si>
  <si>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</si>
  <si>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</si>
  <si>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</si>
  <si>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</si>
  <si>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</si>
  <si>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</si>
  <si>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</si>
  <si>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</si>
  <si>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</si>
  <si>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</si>
  <si>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</si>
  <si>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</si>
  <si>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</si>
  <si>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</si>
  <si>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</si>
  <si>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</si>
  <si>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</si>
  <si>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</si>
  <si>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</si>
  <si>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</si>
  <si>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</si>
  <si>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</si>
  <si>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</si>
  <si>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</si>
  <si>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</si>
  <si>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</si>
  <si>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</si>
  <si>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</si>
  <si>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</si>
  <si>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</si>
  <si>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</si>
  <si>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</si>
  <si>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</si>
  <si>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</si>
  <si>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</si>
  <si>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</si>
  <si>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</si>
  <si>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研究院反馈件符合检具，但检具未回厂，无法检证零件；下铰链加强板Y向与门内板存在间隙：0.5mm;总成尺寸中部下榻</t>
    <phoneticPr fontId="8" type="noConversion"/>
  </si>
  <si>
    <t>SQE</t>
    <phoneticPr fontId="8" type="noConversion"/>
  </si>
  <si>
    <t>2020.03.31
2020.04.30</t>
    <phoneticPr fontId="8" type="noConversion"/>
  </si>
  <si>
    <t>车身</t>
    <phoneticPr fontId="8" type="noConversion"/>
  </si>
  <si>
    <t>瑞祥</t>
    <phoneticPr fontId="8" type="noConversion"/>
  </si>
  <si>
    <t>瑞祥</t>
  </si>
  <si>
    <t>铰链加强板下部Y向与内板搭接面存在0.5mm间隙，X向自然状态下与内板存在0.5-0.7mm间隙</t>
    <phoneticPr fontId="8" type="noConversion"/>
  </si>
  <si>
    <t>2020.04.07</t>
    <phoneticPr fontId="8" type="noConversion"/>
  </si>
  <si>
    <t>2020.04.30</t>
    <phoneticPr fontId="8" type="noConversion"/>
  </si>
  <si>
    <t>料</t>
    <phoneticPr fontId="8" type="noConversion"/>
  </si>
  <si>
    <t>2020.03.27
2020.04.30</t>
    <phoneticPr fontId="8" type="noConversion"/>
  </si>
  <si>
    <t>焊装车间</t>
    <phoneticPr fontId="8" type="noConversion"/>
  </si>
  <si>
    <t>保障科</t>
    <phoneticPr fontId="8" type="noConversion"/>
  </si>
  <si>
    <t>汪宽定</t>
    <phoneticPr fontId="8" type="noConversion"/>
  </si>
  <si>
    <t>焊枪在焊接机盖加强板过程中与夹具干涉</t>
    <phoneticPr fontId="8" type="noConversion"/>
  </si>
  <si>
    <t>对夹具夹紧块进行整改</t>
    <phoneticPr fontId="8" type="noConversion"/>
  </si>
  <si>
    <t>焊枪PTC-N0047小开开口行程小，未焊接前与板件间隙小</t>
    <phoneticPr fontId="8" type="noConversion"/>
  </si>
  <si>
    <t>对焊枪气缸进行整改</t>
    <phoneticPr fontId="8" type="noConversion"/>
  </si>
  <si>
    <t>D80</t>
  </si>
  <si>
    <t>D81</t>
  </si>
  <si>
    <t>2019.10.30
2019.12.30
2020.01.15</t>
  </si>
  <si>
    <t>2020.01.20
2020.03.1</t>
  </si>
  <si>
    <t>2020.01.15</t>
  </si>
  <si>
    <t>2019.10.15
2019.12.30
2020.01.20</t>
  </si>
  <si>
    <t>2019.12.30
2020.01.20  2020.03.31</t>
  </si>
  <si>
    <t>2019.9.30
2020.01.20</t>
  </si>
  <si>
    <t>2019.05.30</t>
    <phoneticPr fontId="8" type="noConversion"/>
  </si>
  <si>
    <t>2019.04.16</t>
    <phoneticPr fontId="8" type="noConversion"/>
  </si>
  <si>
    <t>2018.12.24</t>
    <phoneticPr fontId="8" type="noConversion"/>
  </si>
  <si>
    <t>2018.12.27</t>
    <phoneticPr fontId="8" type="noConversion"/>
  </si>
  <si>
    <t>2019.08.20</t>
    <phoneticPr fontId="8" type="noConversion"/>
  </si>
  <si>
    <t>2019.05.05</t>
    <phoneticPr fontId="8" type="noConversion"/>
  </si>
  <si>
    <t>2019.12.06</t>
    <phoneticPr fontId="8" type="noConversion"/>
  </si>
  <si>
    <t>2020.01.10
2020.02.9反馈进展</t>
  </si>
  <si>
    <t>2020.02.28</t>
  </si>
  <si>
    <t>2020.02.27</t>
  </si>
  <si>
    <t>2019.03.04</t>
    <phoneticPr fontId="8" type="noConversion"/>
  </si>
  <si>
    <t>2019.03.14</t>
  </si>
  <si>
    <t>2019.03.14</t>
    <phoneticPr fontId="8" type="noConversion"/>
  </si>
  <si>
    <t>2019.11.20</t>
    <phoneticPr fontId="8" type="noConversion"/>
  </si>
  <si>
    <t>2019.04.12</t>
    <phoneticPr fontId="8" type="noConversion"/>
  </si>
  <si>
    <t>2019.09.23</t>
  </si>
  <si>
    <t>2019.09.23</t>
    <phoneticPr fontId="8" type="noConversion"/>
  </si>
  <si>
    <t>2019.04.09</t>
    <phoneticPr fontId="8" type="noConversion"/>
  </si>
  <si>
    <t>2019.04.10</t>
    <phoneticPr fontId="8" type="noConversion"/>
  </si>
  <si>
    <t>2019.10.18</t>
  </si>
  <si>
    <t>2019.04.14</t>
  </si>
  <si>
    <t>2020.04/30</t>
  </si>
  <si>
    <t>2020.04.07</t>
  </si>
  <si>
    <t>2019.03.13</t>
    <phoneticPr fontId="8" type="noConversion"/>
  </si>
  <si>
    <t>2019.10.14</t>
    <phoneticPr fontId="8" type="noConversion"/>
  </si>
  <si>
    <t>2019.04.11</t>
    <phoneticPr fontId="8" type="noConversion"/>
  </si>
  <si>
    <t>2019.08.05</t>
    <phoneticPr fontId="8" type="noConversion"/>
  </si>
  <si>
    <t>2019.11.04</t>
    <phoneticPr fontId="8" type="noConversion"/>
  </si>
  <si>
    <t>2019.03.08</t>
    <phoneticPr fontId="8" type="noConversion"/>
  </si>
  <si>
    <t>2019.03.09</t>
    <phoneticPr fontId="8" type="noConversion"/>
  </si>
  <si>
    <t>紧急度</t>
    <phoneticPr fontId="8" type="noConversion"/>
  </si>
  <si>
    <t>分类</t>
    <phoneticPr fontId="8" type="noConversion"/>
  </si>
  <si>
    <t>工位名称</t>
    <phoneticPr fontId="8" type="noConversion"/>
  </si>
  <si>
    <t>线体</t>
    <phoneticPr fontId="8" type="noConversion"/>
  </si>
  <si>
    <t>责任方</t>
    <phoneticPr fontId="8" type="noConversion"/>
  </si>
  <si>
    <t>支持部门</t>
    <phoneticPr fontId="8" type="noConversion"/>
  </si>
  <si>
    <t>计划完成时间</t>
    <phoneticPr fontId="8" type="noConversion"/>
  </si>
  <si>
    <t>实际完成时间</t>
    <phoneticPr fontId="8" type="noConversion"/>
  </si>
  <si>
    <t>验收人</t>
    <phoneticPr fontId="8" type="noConversion"/>
  </si>
  <si>
    <t>问题点描述</t>
    <phoneticPr fontId="8" type="noConversion"/>
  </si>
  <si>
    <t>照片</t>
    <phoneticPr fontId="8" type="noConversion"/>
  </si>
  <si>
    <t>提出人</t>
    <phoneticPr fontId="8" type="noConversion"/>
  </si>
  <si>
    <t>起始时间</t>
    <phoneticPr fontId="8" type="noConversion"/>
  </si>
  <si>
    <t>序号</t>
    <phoneticPr fontId="8" type="noConversion"/>
  </si>
  <si>
    <t>2020.03.23</t>
    <phoneticPr fontId="8" type="noConversion"/>
  </si>
  <si>
    <t>王育辉
吴红玲</t>
  </si>
  <si>
    <t>石建成
沈小龙</t>
    <phoneticPr fontId="8" type="noConversion"/>
  </si>
  <si>
    <t>谢柱
沈小龙</t>
    <phoneticPr fontId="8" type="noConversion"/>
  </si>
  <si>
    <t>朱伟斌
沈小龙</t>
    <phoneticPr fontId="8" type="noConversion"/>
  </si>
  <si>
    <t>姚镇峰
沈小龙</t>
    <phoneticPr fontId="8" type="noConversion"/>
  </si>
  <si>
    <t>陈南荣
汪宽定</t>
  </si>
  <si>
    <t>C级</t>
    <phoneticPr fontId="8" type="noConversion"/>
  </si>
  <si>
    <t>工位D柱总成缺少上件放置台，踏台空间小</t>
  </si>
  <si>
    <t>考虑扩大踏台,增加放件台</t>
  </si>
  <si>
    <t>工位人机操作性差，上件困难</t>
    <phoneticPr fontId="8" type="noConversion"/>
  </si>
  <si>
    <t>W1FU4-010L</t>
    <phoneticPr fontId="8" type="noConversion"/>
  </si>
  <si>
    <t>W1FU4-020L</t>
    <phoneticPr fontId="8" type="noConversion"/>
  </si>
  <si>
    <t>W1FU4-020R</t>
    <phoneticPr fontId="8" type="noConversion"/>
  </si>
  <si>
    <t>右前纵梁20#工位焊后总成较重，需要安装吊具</t>
    <phoneticPr fontId="8" type="noConversion"/>
  </si>
  <si>
    <t>沈小龙</t>
    <phoneticPr fontId="8" type="noConversion"/>
  </si>
  <si>
    <t>增加吊具</t>
    <phoneticPr fontId="8" type="noConversion"/>
  </si>
  <si>
    <t>增加吊具</t>
    <phoneticPr fontId="8" type="noConversion"/>
  </si>
  <si>
    <t>左后纵梁分总成10工位，总成焊接后重量大，无吊具搬运，作业困难</t>
    <phoneticPr fontId="8" type="noConversion"/>
  </si>
  <si>
    <t>右后纵梁分总成20工位，总成焊接后重量大，无吊具搬运，作业困难</t>
    <phoneticPr fontId="8" type="noConversion"/>
  </si>
  <si>
    <t>左后纵梁分总成20工位，总成焊接后重量大，无吊具搬运，作业困难</t>
    <phoneticPr fontId="8" type="noConversion"/>
  </si>
  <si>
    <t>右后纵梁分总成10工位，总成焊接后重量大，无吊具搬运，作业困难</t>
    <phoneticPr fontId="8" type="noConversion"/>
  </si>
  <si>
    <t>2020.04.30</t>
    <phoneticPr fontId="8" type="noConversion"/>
  </si>
  <si>
    <t>2019.12.08</t>
    <phoneticPr fontId="8" type="noConversion"/>
  </si>
  <si>
    <t>A级</t>
    <phoneticPr fontId="8" type="noConversion"/>
  </si>
  <si>
    <t>A3</t>
  </si>
  <si>
    <t>A4</t>
  </si>
  <si>
    <t>A52</t>
  </si>
  <si>
    <t>A53</t>
  </si>
  <si>
    <t>A54</t>
  </si>
  <si>
    <t>A55</t>
  </si>
  <si>
    <t>A56</t>
  </si>
  <si>
    <t>A57</t>
  </si>
  <si>
    <t>重新进行打印排版，对表头等描述进行完善，增加登记，对各区问题进行编号</t>
    <phoneticPr fontId="16" type="noConversion"/>
  </si>
  <si>
    <t>梁鹏、俞华昌</t>
    <phoneticPr fontId="16" type="noConversion"/>
  </si>
  <si>
    <t>V4</t>
    <phoneticPr fontId="16" type="noConversion"/>
  </si>
  <si>
    <t>右后门滚边</t>
    <phoneticPr fontId="11" type="noConversion"/>
  </si>
  <si>
    <t>右后门补焊</t>
    <phoneticPr fontId="11" type="noConversion"/>
  </si>
  <si>
    <t>-</t>
    <phoneticPr fontId="8" type="noConversion"/>
  </si>
  <si>
    <t>station</t>
    <phoneticPr fontId="8" type="noConversion"/>
  </si>
  <si>
    <t>原因分析及改善方案</t>
    <phoneticPr fontId="8" type="noConversion"/>
  </si>
  <si>
    <t>STATUS状态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</si>
</sst>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800]dddd\,\ mmmm\ dd\,\ yyyy"/>
    <numFmt numFmtId="177" formatCode="0_);[Red]\(0\)"/>
  </numFmts>
  <fonts count="29">
    <font>
      <sz val="12"/>
      <name val="宋体"/>
      <charset val="134"/>
    </font>
    <font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17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name val="돋움"/>
      <family val="2"/>
    </font>
    <font>
      <sz val="11"/>
      <color indexed="2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8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SimSun"/>
      <charset val="134"/>
    </font>
    <font>
      <sz val="10"/>
      <color indexed="8"/>
      <name val="宋体"/>
      <family val="2"/>
      <charset val="134"/>
    </font>
    <font>
      <sz val="10"/>
      <color indexed="8"/>
      <name val="宋体"/>
      <family val="3"/>
      <charset val="134"/>
    </font>
    <font>
      <sz val="10"/>
      <color rgb="FF000000"/>
      <name val="SimSun"/>
      <charset val="134"/>
    </font>
    <font>
      <b/>
      <sz val="10"/>
      <color rgb="FFFFC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92D05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30">
    <xf numFmtId="176" fontId="0" fillId="0" borderId="0">
      <alignment vertical="center"/>
    </xf>
    <xf numFmtId="176" fontId="3" fillId="4" borderId="0" applyNumberFormat="0" applyBorder="0" applyAlignment="0" applyProtection="0">
      <alignment vertical="center"/>
    </xf>
    <xf numFmtId="176" fontId="4" fillId="0" borderId="0">
      <alignment vertical="center"/>
    </xf>
    <xf numFmtId="176" fontId="2" fillId="0" borderId="0">
      <alignment vertical="center"/>
    </xf>
    <xf numFmtId="176" fontId="5" fillId="0" borderId="0"/>
    <xf numFmtId="176" fontId="4" fillId="0" borderId="0">
      <alignment vertical="center"/>
    </xf>
    <xf numFmtId="176" fontId="2" fillId="0" borderId="0">
      <alignment vertical="center"/>
    </xf>
    <xf numFmtId="176" fontId="6" fillId="5" borderId="0" applyNumberFormat="0" applyBorder="0" applyAlignment="0" applyProtection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176" fontId="4" fillId="0" borderId="0" applyProtection="0">
      <alignment vertical="center"/>
    </xf>
    <xf numFmtId="176" fontId="4" fillId="0" borderId="0">
      <alignment vertical="center"/>
    </xf>
    <xf numFmtId="176" fontId="4" fillId="0" borderId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176" fontId="4" fillId="0" borderId="0">
      <alignment vertical="center"/>
    </xf>
    <xf numFmtId="176" fontId="7" fillId="0" borderId="0">
      <alignment vertical="center"/>
    </xf>
    <xf numFmtId="176" fontId="2" fillId="0" borderId="0">
      <alignment vertical="center"/>
    </xf>
    <xf numFmtId="176" fontId="7" fillId="0" borderId="0">
      <alignment vertical="center"/>
    </xf>
    <xf numFmtId="176" fontId="7" fillId="0" borderId="0">
      <alignment vertical="center"/>
    </xf>
    <xf numFmtId="176" fontId="10" fillId="0" borderId="0"/>
    <xf numFmtId="176" fontId="7" fillId="0" borderId="0">
      <alignment vertical="center"/>
    </xf>
    <xf numFmtId="176" fontId="7" fillId="0" borderId="0">
      <alignment vertical="center"/>
    </xf>
    <xf numFmtId="176" fontId="7" fillId="0" borderId="0">
      <alignment vertical="center"/>
    </xf>
    <xf numFmtId="176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0" fillId="0" borderId="0"/>
    <xf numFmtId="0" fontId="7" fillId="0" borderId="0"/>
    <xf numFmtId="9" fontId="7" fillId="0" borderId="0" applyFont="0" applyFill="0" applyBorder="0" applyAlignment="0" applyProtection="0"/>
  </cellStyleXfs>
  <cellXfs count="194">
    <xf numFmtId="176" fontId="0" fillId="0" borderId="0" xfId="0">
      <alignment vertical="center"/>
    </xf>
    <xf numFmtId="176" fontId="1" fillId="0" borderId="0" xfId="22" applyFont="1" applyAlignment="1">
      <alignment vertical="center" wrapText="1"/>
    </xf>
    <xf numFmtId="176" fontId="1" fillId="0" borderId="0" xfId="22" applyFont="1" applyAlignment="1">
      <alignment horizontal="center" vertical="center" wrapText="1"/>
    </xf>
    <xf numFmtId="14" fontId="1" fillId="0" borderId="0" xfId="22" applyNumberFormat="1" applyFont="1" applyAlignment="1">
      <alignment horizontal="center" vertical="center" wrapText="1"/>
    </xf>
    <xf numFmtId="176" fontId="1" fillId="0" borderId="4" xfId="0" applyFont="1" applyBorder="1" applyAlignment="1">
      <alignment horizontal="center" vertical="center" wrapText="1"/>
    </xf>
    <xf numFmtId="0" fontId="2" fillId="0" borderId="0" xfId="27" applyFont="1"/>
    <xf numFmtId="0" fontId="13" fillId="0" borderId="4" xfId="27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horizontal="center" vertical="center" wrapText="1"/>
    </xf>
    <xf numFmtId="0" fontId="13" fillId="0" borderId="1" xfId="27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vertical="center"/>
    </xf>
    <xf numFmtId="0" fontId="9" fillId="0" borderId="4" xfId="27" applyFont="1" applyFill="1" applyBorder="1" applyAlignment="1">
      <alignment horizontal="center" vertical="center"/>
    </xf>
    <xf numFmtId="0" fontId="9" fillId="0" borderId="4" xfId="27" applyNumberFormat="1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vertical="center" wrapText="1"/>
    </xf>
    <xf numFmtId="0" fontId="9" fillId="0" borderId="4" xfId="28" applyFont="1" applyFill="1" applyBorder="1" applyAlignment="1">
      <alignment horizontal="center" vertical="center" wrapText="1"/>
    </xf>
    <xf numFmtId="0" fontId="9" fillId="0" borderId="5" xfId="28" applyFont="1" applyFill="1" applyBorder="1" applyAlignment="1">
      <alignment horizontal="center" vertical="center" wrapText="1"/>
    </xf>
    <xf numFmtId="0" fontId="9" fillId="0" borderId="5" xfId="27" applyFont="1" applyFill="1" applyBorder="1" applyAlignment="1">
      <alignment horizontal="center" vertical="center"/>
    </xf>
    <xf numFmtId="0" fontId="9" fillId="0" borderId="7" xfId="27" applyNumberFormat="1" applyFont="1" applyFill="1" applyBorder="1" applyAlignment="1">
      <alignment horizontal="center" vertical="center"/>
    </xf>
    <xf numFmtId="0" fontId="9" fillId="0" borderId="7" xfId="27" applyFont="1" applyFill="1" applyBorder="1" applyAlignment="1">
      <alignment horizontal="center" vertical="center" wrapText="1"/>
    </xf>
    <xf numFmtId="0" fontId="9" fillId="0" borderId="4" xfId="27" applyFont="1" applyFill="1" applyBorder="1" applyAlignment="1">
      <alignment horizontal="center" vertical="center" wrapText="1"/>
    </xf>
    <xf numFmtId="0" fontId="9" fillId="0" borderId="8" xfId="27" applyNumberFormat="1" applyFont="1" applyFill="1" applyBorder="1" applyAlignment="1">
      <alignment horizontal="center" vertical="center"/>
    </xf>
    <xf numFmtId="0" fontId="9" fillId="0" borderId="8" xfId="27" applyFont="1" applyFill="1" applyBorder="1" applyAlignment="1">
      <alignment horizontal="center" vertical="center" wrapText="1"/>
    </xf>
    <xf numFmtId="0" fontId="9" fillId="0" borderId="7" xfId="27" applyNumberFormat="1" applyFont="1" applyFill="1" applyBorder="1" applyAlignment="1">
      <alignment horizontal="center" vertical="center" wrapText="1"/>
    </xf>
    <xf numFmtId="0" fontId="9" fillId="0" borderId="4" xfId="27" applyNumberFormat="1" applyFont="1" applyFill="1" applyBorder="1" applyAlignment="1">
      <alignment horizontal="center" vertical="center" wrapText="1"/>
    </xf>
    <xf numFmtId="0" fontId="9" fillId="0" borderId="8" xfId="27" applyNumberFormat="1" applyFont="1" applyFill="1" applyBorder="1" applyAlignment="1">
      <alignment horizontal="center" vertical="center" wrapText="1"/>
    </xf>
    <xf numFmtId="0" fontId="9" fillId="0" borderId="7" xfId="27" applyFont="1" applyFill="1" applyBorder="1" applyAlignment="1">
      <alignment horizontal="center" vertical="center"/>
    </xf>
    <xf numFmtId="0" fontId="9" fillId="0" borderId="6" xfId="27" applyNumberFormat="1" applyFont="1" applyFill="1" applyBorder="1" applyAlignment="1">
      <alignment horizontal="center" vertical="center"/>
    </xf>
    <xf numFmtId="0" fontId="9" fillId="0" borderId="6" xfId="27" applyFont="1" applyFill="1" applyBorder="1" applyAlignment="1">
      <alignment horizontal="center" vertical="center" wrapText="1"/>
    </xf>
    <xf numFmtId="0" fontId="9" fillId="0" borderId="8" xfId="27" applyFont="1" applyFill="1" applyBorder="1" applyAlignment="1">
      <alignment horizontal="center" vertical="center"/>
    </xf>
    <xf numFmtId="0" fontId="2" fillId="0" borderId="0" xfId="27" applyFont="1" applyFill="1"/>
    <xf numFmtId="0" fontId="13" fillId="0" borderId="0" xfId="27" applyFont="1" applyFill="1"/>
    <xf numFmtId="176" fontId="0" fillId="0" borderId="4" xfId="0" applyBorder="1">
      <alignment vertical="center"/>
    </xf>
    <xf numFmtId="0" fontId="9" fillId="0" borderId="4" xfId="27" applyFont="1" applyFill="1" applyBorder="1" applyAlignment="1">
      <alignment horizontal="left" vertical="center"/>
    </xf>
    <xf numFmtId="176" fontId="1" fillId="6" borderId="0" xfId="22" applyFont="1" applyFill="1" applyAlignment="1">
      <alignment horizontal="center" vertical="center" wrapText="1"/>
    </xf>
    <xf numFmtId="176" fontId="0" fillId="0" borderId="4" xfId="0" applyBorder="1" applyAlignment="1">
      <alignment vertical="center" wrapText="1"/>
    </xf>
    <xf numFmtId="176" fontId="0" fillId="0" borderId="0" xfId="0" applyAlignment="1">
      <alignment vertical="center" wrapText="1"/>
    </xf>
    <xf numFmtId="176" fontId="15" fillId="0" borderId="4" xfId="0" applyFont="1" applyBorder="1" applyAlignment="1">
      <alignment horizontal="center" vertical="center"/>
    </xf>
    <xf numFmtId="176" fontId="15" fillId="0" borderId="4" xfId="0" applyFont="1" applyBorder="1" applyAlignment="1">
      <alignment horizontal="center" vertical="center" wrapText="1"/>
    </xf>
    <xf numFmtId="176" fontId="15" fillId="0" borderId="0" xfId="0" applyFont="1" applyAlignment="1">
      <alignment horizontal="center" vertical="center"/>
    </xf>
    <xf numFmtId="14" fontId="15" fillId="2" borderId="4" xfId="22" applyNumberFormat="1" applyFont="1" applyFill="1" applyBorder="1" applyAlignment="1">
      <alignment horizontal="center" vertical="center" wrapText="1"/>
    </xf>
    <xf numFmtId="176" fontId="15" fillId="2" borderId="4" xfId="22" applyFont="1" applyFill="1" applyBorder="1" applyAlignment="1">
      <alignment horizontal="center" vertical="center" wrapText="1"/>
    </xf>
    <xf numFmtId="0" fontId="14" fillId="0" borderId="4" xfId="27" applyFont="1" applyFill="1" applyBorder="1" applyAlignment="1">
      <alignment horizontal="center" vertical="center"/>
    </xf>
    <xf numFmtId="0" fontId="12" fillId="0" borderId="4" xfId="27" applyFont="1" applyFill="1" applyBorder="1" applyAlignment="1">
      <alignment horizontal="center" vertical="center"/>
    </xf>
    <xf numFmtId="0" fontId="13" fillId="0" borderId="3" xfId="27" applyFont="1" applyFill="1" applyBorder="1" applyAlignment="1">
      <alignment horizontal="left" vertical="center"/>
    </xf>
    <xf numFmtId="0" fontId="9" fillId="0" borderId="4" xfId="27" applyNumberFormat="1" applyFont="1" applyFill="1" applyBorder="1" applyAlignment="1">
      <alignment horizontal="center" vertical="center"/>
    </xf>
    <xf numFmtId="0" fontId="9" fillId="0" borderId="4" xfId="27" applyFont="1" applyFill="1" applyBorder="1" applyAlignment="1">
      <alignment horizontal="center" vertical="center" wrapText="1"/>
    </xf>
    <xf numFmtId="0" fontId="14" fillId="8" borderId="4" xfId="27" applyFont="1" applyFill="1" applyBorder="1" applyAlignment="1">
      <alignment horizontal="center" vertical="center"/>
    </xf>
    <xf numFmtId="0" fontId="9" fillId="8" borderId="4" xfId="27" applyFont="1" applyFill="1" applyBorder="1" applyAlignment="1">
      <alignment horizontal="center" vertical="center" wrapText="1"/>
    </xf>
    <xf numFmtId="0" fontId="9" fillId="8" borderId="4" xfId="27" applyNumberFormat="1" applyFont="1" applyFill="1" applyBorder="1" applyAlignment="1">
      <alignment horizontal="center" vertical="center"/>
    </xf>
    <xf numFmtId="0" fontId="9" fillId="8" borderId="4" xfId="27" applyFont="1" applyFill="1" applyBorder="1" applyAlignment="1">
      <alignment horizontal="center" vertical="center"/>
    </xf>
    <xf numFmtId="0" fontId="2" fillId="8" borderId="0" xfId="27" applyFont="1" applyFill="1"/>
    <xf numFmtId="0" fontId="14" fillId="9" borderId="4" xfId="27" applyFont="1" applyFill="1" applyBorder="1" applyAlignment="1">
      <alignment horizontal="center" vertical="center"/>
    </xf>
    <xf numFmtId="0" fontId="9" fillId="9" borderId="4" xfId="27" applyFont="1" applyFill="1" applyBorder="1" applyAlignment="1">
      <alignment horizontal="center" vertical="center" wrapText="1"/>
    </xf>
    <xf numFmtId="0" fontId="9" fillId="9" borderId="4" xfId="27" applyNumberFormat="1" applyFont="1" applyFill="1" applyBorder="1" applyAlignment="1">
      <alignment horizontal="center" vertical="center"/>
    </xf>
    <xf numFmtId="0" fontId="9" fillId="9" borderId="4" xfId="27" applyFont="1" applyFill="1" applyBorder="1" applyAlignment="1">
      <alignment horizontal="center" vertical="center"/>
    </xf>
    <xf numFmtId="0" fontId="2" fillId="9" borderId="0" xfId="27" applyFont="1" applyFill="1"/>
    <xf numFmtId="0" fontId="9" fillId="0" borderId="4" xfId="27" applyFont="1" applyFill="1" applyBorder="1" applyAlignment="1">
      <alignment horizontal="center" vertical="center"/>
    </xf>
    <xf numFmtId="0" fontId="14" fillId="10" borderId="4" xfId="27" applyFont="1" applyFill="1" applyBorder="1" applyAlignment="1">
      <alignment horizontal="center" vertical="center"/>
    </xf>
    <xf numFmtId="0" fontId="9" fillId="10" borderId="4" xfId="27" applyFont="1" applyFill="1" applyBorder="1" applyAlignment="1">
      <alignment horizontal="center" vertical="center" wrapText="1"/>
    </xf>
    <xf numFmtId="0" fontId="9" fillId="10" borderId="4" xfId="27" applyNumberFormat="1" applyFont="1" applyFill="1" applyBorder="1" applyAlignment="1">
      <alignment horizontal="center" vertical="center"/>
    </xf>
    <xf numFmtId="0" fontId="9" fillId="10" borderId="4" xfId="27" applyFont="1" applyFill="1" applyBorder="1" applyAlignment="1">
      <alignment horizontal="center" vertical="center"/>
    </xf>
    <xf numFmtId="0" fontId="2" fillId="10" borderId="0" xfId="27" applyFont="1" applyFill="1"/>
    <xf numFmtId="0" fontId="18" fillId="0" borderId="4" xfId="27" applyFont="1" applyFill="1" applyBorder="1" applyAlignment="1">
      <alignment horizontal="center" vertical="center" wrapText="1"/>
    </xf>
    <xf numFmtId="0" fontId="9" fillId="0" borderId="4" xfId="27" applyNumberFormat="1" applyFont="1" applyFill="1" applyBorder="1" applyAlignment="1">
      <alignment horizontal="center" vertical="center" wrapText="1"/>
    </xf>
    <xf numFmtId="0" fontId="2" fillId="11" borderId="0" xfId="27" applyFont="1" applyFill="1"/>
    <xf numFmtId="0" fontId="9" fillId="0" borderId="9" xfId="27" applyNumberFormat="1" applyFont="1" applyFill="1" applyBorder="1" applyAlignment="1">
      <alignment horizontal="center" vertical="center" wrapText="1"/>
    </xf>
    <xf numFmtId="0" fontId="14" fillId="0" borderId="4" xfId="27" applyNumberFormat="1" applyFont="1" applyFill="1" applyBorder="1" applyAlignment="1">
      <alignment horizontal="center" vertical="center"/>
    </xf>
    <xf numFmtId="0" fontId="13" fillId="0" borderId="4" xfId="27" applyNumberFormat="1" applyFont="1" applyFill="1" applyBorder="1" applyAlignment="1">
      <alignment horizontal="center" vertical="center"/>
    </xf>
    <xf numFmtId="0" fontId="2" fillId="12" borderId="0" xfId="27" applyFont="1" applyFill="1"/>
    <xf numFmtId="0" fontId="13" fillId="0" borderId="0" xfId="27" applyNumberFormat="1" applyFont="1" applyFill="1"/>
    <xf numFmtId="0" fontId="14" fillId="0" borderId="4" xfId="27" applyFont="1" applyFill="1" applyBorder="1" applyAlignment="1">
      <alignment vertical="center" wrapText="1"/>
    </xf>
    <xf numFmtId="0" fontId="14" fillId="0" borderId="4" xfId="27" applyFont="1" applyFill="1" applyBorder="1" applyAlignment="1">
      <alignment vertical="center"/>
    </xf>
    <xf numFmtId="0" fontId="12" fillId="11" borderId="4" xfId="27" applyFont="1" applyFill="1" applyBorder="1" applyAlignment="1">
      <alignment horizontal="center" vertical="center"/>
    </xf>
    <xf numFmtId="0" fontId="13" fillId="11" borderId="3" xfId="27" applyFont="1" applyFill="1" applyBorder="1" applyAlignment="1">
      <alignment horizontal="left" vertical="center"/>
    </xf>
    <xf numFmtId="0" fontId="13" fillId="11" borderId="4" xfId="27" applyFont="1" applyFill="1" applyBorder="1" applyAlignment="1">
      <alignment horizontal="center" vertical="center"/>
    </xf>
    <xf numFmtId="0" fontId="9" fillId="11" borderId="4" xfId="27" applyFont="1" applyFill="1" applyBorder="1" applyAlignment="1">
      <alignment horizontal="center" vertical="center"/>
    </xf>
    <xf numFmtId="0" fontId="9" fillId="11" borderId="0" xfId="27" applyFont="1" applyFill="1" applyBorder="1" applyAlignment="1">
      <alignment horizontal="center" vertical="center"/>
    </xf>
    <xf numFmtId="0" fontId="9" fillId="11" borderId="0" xfId="27" applyFont="1" applyFill="1" applyBorder="1" applyAlignment="1">
      <alignment horizontal="center" vertical="center" wrapText="1"/>
    </xf>
    <xf numFmtId="0" fontId="18" fillId="11" borderId="0" xfId="27" applyFont="1" applyFill="1" applyBorder="1" applyAlignment="1">
      <alignment horizontal="center" vertical="center" wrapText="1"/>
    </xf>
    <xf numFmtId="0" fontId="13" fillId="11" borderId="0" xfId="27" applyFont="1" applyFill="1"/>
    <xf numFmtId="0" fontId="9" fillId="11" borderId="1" xfId="27" applyFont="1" applyFill="1" applyBorder="1" applyAlignment="1">
      <alignment horizontal="center" vertical="center"/>
    </xf>
    <xf numFmtId="0" fontId="9" fillId="0" borderId="5" xfId="27" applyFont="1" applyFill="1" applyBorder="1" applyAlignment="1">
      <alignment horizontal="left" vertical="center"/>
    </xf>
    <xf numFmtId="176" fontId="0" fillId="0" borderId="5" xfId="0" applyBorder="1">
      <alignment vertical="center"/>
    </xf>
    <xf numFmtId="176" fontId="19" fillId="6" borderId="4" xfId="0" applyFont="1" applyFill="1" applyBorder="1" applyAlignment="1">
      <alignment horizontal="center" vertical="center"/>
    </xf>
    <xf numFmtId="0" fontId="19" fillId="6" borderId="11" xfId="27" applyFont="1" applyFill="1" applyBorder="1" applyAlignment="1">
      <alignment horizontal="center" vertical="center"/>
    </xf>
    <xf numFmtId="0" fontId="19" fillId="6" borderId="12" xfId="27" applyFont="1" applyFill="1" applyBorder="1" applyAlignment="1">
      <alignment horizontal="center" vertical="center"/>
    </xf>
    <xf numFmtId="176" fontId="19" fillId="6" borderId="12" xfId="0" applyFont="1" applyFill="1" applyBorder="1" applyAlignment="1">
      <alignment horizontal="center" vertical="center"/>
    </xf>
    <xf numFmtId="176" fontId="19" fillId="6" borderId="13" xfId="0" applyFont="1" applyFill="1" applyBorder="1" applyAlignment="1">
      <alignment horizontal="center" vertical="center"/>
    </xf>
    <xf numFmtId="0" fontId="19" fillId="6" borderId="14" xfId="27" applyFont="1" applyFill="1" applyBorder="1" applyAlignment="1">
      <alignment horizontal="center" vertical="center"/>
    </xf>
    <xf numFmtId="0" fontId="19" fillId="6" borderId="10" xfId="27" applyFont="1" applyFill="1" applyBorder="1" applyAlignment="1">
      <alignment horizontal="center" vertical="center"/>
    </xf>
    <xf numFmtId="176" fontId="19" fillId="6" borderId="10" xfId="0" applyFont="1" applyFill="1" applyBorder="1" applyAlignment="1">
      <alignment horizontal="center" vertical="center"/>
    </xf>
    <xf numFmtId="176" fontId="19" fillId="6" borderId="15" xfId="0" applyFont="1" applyFill="1" applyBorder="1" applyAlignment="1">
      <alignment horizontal="center" vertical="center"/>
    </xf>
    <xf numFmtId="0" fontId="20" fillId="6" borderId="10" xfId="27" applyFont="1" applyFill="1" applyBorder="1" applyAlignment="1">
      <alignment horizontal="center" vertical="center"/>
    </xf>
    <xf numFmtId="176" fontId="19" fillId="6" borderId="14" xfId="0" applyFont="1" applyFill="1" applyBorder="1" applyAlignment="1">
      <alignment horizontal="center" vertical="center"/>
    </xf>
    <xf numFmtId="176" fontId="19" fillId="6" borderId="16" xfId="0" applyFont="1" applyFill="1" applyBorder="1" applyAlignment="1">
      <alignment horizontal="center" vertical="center"/>
    </xf>
    <xf numFmtId="0" fontId="20" fillId="6" borderId="17" xfId="27" applyFont="1" applyFill="1" applyBorder="1" applyAlignment="1">
      <alignment horizontal="center" vertical="center"/>
    </xf>
    <xf numFmtId="176" fontId="19" fillId="6" borderId="17" xfId="0" applyFont="1" applyFill="1" applyBorder="1" applyAlignment="1">
      <alignment horizontal="center" vertical="center"/>
    </xf>
    <xf numFmtId="176" fontId="19" fillId="6" borderId="18" xfId="0" applyFont="1" applyFill="1" applyBorder="1" applyAlignment="1">
      <alignment horizontal="center" vertical="center"/>
    </xf>
    <xf numFmtId="176" fontId="7" fillId="0" borderId="0" xfId="0" applyFont="1">
      <alignment vertical="center"/>
    </xf>
    <xf numFmtId="14" fontId="1" fillId="0" borderId="4" xfId="16" applyNumberFormat="1" applyFont="1" applyFill="1" applyBorder="1" applyAlignment="1">
      <alignment horizontal="center" vertical="center" wrapText="1"/>
    </xf>
    <xf numFmtId="176" fontId="1" fillId="0" borderId="4" xfId="16" applyFont="1" applyBorder="1" applyAlignment="1">
      <alignment horizontal="center" vertical="center" wrapText="1"/>
    </xf>
    <xf numFmtId="176" fontId="1" fillId="0" borderId="4" xfId="16" applyFont="1" applyBorder="1" applyAlignment="1">
      <alignment vertical="center" wrapText="1"/>
    </xf>
    <xf numFmtId="176" fontId="1" fillId="0" borderId="4" xfId="16" applyFont="1" applyFill="1" applyBorder="1" applyAlignment="1">
      <alignment horizontal="center" vertical="center" wrapText="1"/>
    </xf>
    <xf numFmtId="14" fontId="1" fillId="0" borderId="4" xfId="16" applyNumberFormat="1" applyFont="1" applyBorder="1" applyAlignment="1">
      <alignment horizontal="center" vertical="center" wrapText="1"/>
    </xf>
    <xf numFmtId="176" fontId="1" fillId="6" borderId="4" xfId="16" applyFont="1" applyFill="1" applyBorder="1" applyAlignment="1">
      <alignment horizontal="center" vertical="center" wrapText="1"/>
    </xf>
    <xf numFmtId="176" fontId="1" fillId="3" borderId="4" xfId="0" applyFont="1" applyFill="1" applyBorder="1" applyAlignment="1">
      <alignment horizontal="center" vertical="center" wrapText="1"/>
    </xf>
    <xf numFmtId="14" fontId="1" fillId="3" borderId="4" xfId="22" applyNumberFormat="1" applyFont="1" applyFill="1" applyBorder="1" applyAlignment="1">
      <alignment horizontal="center" vertical="center" wrapText="1"/>
    </xf>
    <xf numFmtId="176" fontId="1" fillId="0" borderId="4" xfId="22" applyFont="1" applyBorder="1" applyAlignment="1">
      <alignment horizontal="center" vertical="center" wrapText="1"/>
    </xf>
    <xf numFmtId="176" fontId="1" fillId="0" borderId="4" xfId="22" applyFont="1" applyBorder="1" applyAlignment="1">
      <alignment vertical="center" wrapText="1"/>
    </xf>
    <xf numFmtId="14" fontId="1" fillId="0" borderId="4" xfId="22" applyNumberFormat="1" applyFont="1" applyFill="1" applyBorder="1" applyAlignment="1">
      <alignment horizontal="center" vertical="center" wrapText="1"/>
    </xf>
    <xf numFmtId="176" fontId="22" fillId="0" borderId="1" xfId="17" applyFont="1" applyBorder="1" applyAlignment="1">
      <alignment horizontal="center" vertical="center" wrapText="1"/>
    </xf>
    <xf numFmtId="176" fontId="23" fillId="0" borderId="4" xfId="22" applyFont="1" applyBorder="1" applyAlignment="1">
      <alignment horizontal="center" vertical="center" wrapText="1"/>
    </xf>
    <xf numFmtId="176" fontId="1" fillId="0" borderId="4" xfId="22" applyFont="1" applyFill="1" applyBorder="1" applyAlignment="1">
      <alignment horizontal="center" vertical="center" wrapText="1"/>
    </xf>
    <xf numFmtId="14" fontId="1" fillId="0" borderId="4" xfId="22" applyNumberFormat="1" applyFont="1" applyBorder="1" applyAlignment="1">
      <alignment horizontal="center" vertical="center" wrapText="1"/>
    </xf>
    <xf numFmtId="14" fontId="1" fillId="0" borderId="4" xfId="0" applyNumberFormat="1" applyFont="1" applyFill="1" applyBorder="1" applyAlignment="1">
      <alignment horizontal="center" vertical="center" wrapText="1"/>
    </xf>
    <xf numFmtId="176" fontId="24" fillId="0" borderId="4" xfId="0" applyFont="1" applyBorder="1" applyAlignment="1">
      <alignment horizontal="center" vertical="center" wrapText="1"/>
    </xf>
    <xf numFmtId="176" fontId="1" fillId="0" borderId="4" xfId="0" applyFont="1" applyFill="1" applyBorder="1" applyAlignment="1">
      <alignment horizontal="center" vertical="center" wrapText="1"/>
    </xf>
    <xf numFmtId="176" fontId="22" fillId="0" borderId="4" xfId="17" applyFont="1" applyBorder="1" applyAlignment="1">
      <alignment horizontal="center" vertical="center" wrapText="1"/>
    </xf>
    <xf numFmtId="176" fontId="1" fillId="0" borderId="4" xfId="16" applyFont="1" applyBorder="1">
      <alignment vertical="center"/>
    </xf>
    <xf numFmtId="14" fontId="1" fillId="0" borderId="4" xfId="0" applyNumberFormat="1" applyFont="1" applyBorder="1" applyAlignment="1">
      <alignment horizontal="center" vertical="center" wrapText="1"/>
    </xf>
    <xf numFmtId="49" fontId="1" fillId="0" borderId="4" xfId="0" applyNumberFormat="1" applyFont="1" applyFill="1" applyBorder="1" applyAlignment="1">
      <alignment horizontal="center" vertical="center" wrapText="1"/>
    </xf>
    <xf numFmtId="49" fontId="1" fillId="0" borderId="4" xfId="16" applyNumberFormat="1" applyFont="1" applyBorder="1" applyAlignment="1">
      <alignment horizontal="center" vertical="center" wrapText="1"/>
    </xf>
    <xf numFmtId="49" fontId="1" fillId="0" borderId="4" xfId="16" applyNumberFormat="1" applyFont="1" applyBorder="1" applyAlignment="1">
      <alignment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49" fontId="1" fillId="0" borderId="4" xfId="16" applyNumberFormat="1" applyFont="1" applyFill="1" applyBorder="1" applyAlignment="1">
      <alignment horizontal="center" vertical="center" wrapText="1"/>
    </xf>
    <xf numFmtId="0" fontId="24" fillId="6" borderId="4" xfId="0" applyNumberFormat="1" applyFont="1" applyFill="1" applyBorder="1" applyAlignment="1" applyProtection="1">
      <alignment horizontal="center" vertical="center" wrapText="1"/>
    </xf>
    <xf numFmtId="176" fontId="1" fillId="6" borderId="4" xfId="0" applyFont="1" applyFill="1" applyBorder="1" applyAlignment="1">
      <alignment horizontal="center" vertical="center" wrapText="1"/>
    </xf>
    <xf numFmtId="176" fontId="1" fillId="3" borderId="4" xfId="22" applyFont="1" applyFill="1" applyBorder="1" applyAlignment="1">
      <alignment horizontal="center" vertical="center" wrapText="1"/>
    </xf>
    <xf numFmtId="176" fontId="1" fillId="6" borderId="4" xfId="22" applyFont="1" applyFill="1" applyBorder="1" applyAlignment="1">
      <alignment horizontal="center" vertical="center" wrapText="1"/>
    </xf>
    <xf numFmtId="176" fontId="1" fillId="0" borderId="4" xfId="0" applyFont="1" applyBorder="1" applyAlignment="1">
      <alignment horizontal="left" vertical="center" wrapText="1"/>
    </xf>
    <xf numFmtId="14" fontId="1" fillId="0" borderId="4" xfId="18" applyNumberFormat="1" applyFont="1" applyFill="1" applyBorder="1" applyAlignment="1" applyProtection="1">
      <alignment horizontal="center" vertical="center" wrapText="1"/>
    </xf>
    <xf numFmtId="176" fontId="1" fillId="0" borderId="4" xfId="18" applyFont="1" applyBorder="1" applyAlignment="1" applyProtection="1">
      <alignment horizontal="center" vertical="center" wrapText="1"/>
    </xf>
    <xf numFmtId="176" fontId="25" fillId="0" borderId="1" xfId="17" applyFont="1" applyBorder="1" applyAlignment="1" applyProtection="1">
      <alignment horizontal="center" vertical="center" wrapText="1"/>
    </xf>
    <xf numFmtId="176" fontId="24" fillId="7" borderId="4" xfId="18" applyFont="1" applyFill="1" applyBorder="1" applyAlignment="1" applyProtection="1">
      <alignment horizontal="center" vertical="center" wrapText="1"/>
    </xf>
    <xf numFmtId="176" fontId="25" fillId="0" borderId="1" xfId="17" applyFont="1" applyBorder="1" applyAlignment="1" applyProtection="1">
      <alignment horizontal="left" vertical="center" wrapText="1"/>
    </xf>
    <xf numFmtId="176" fontId="1" fillId="0" borderId="4" xfId="18" applyFont="1" applyFill="1" applyBorder="1" applyAlignment="1" applyProtection="1">
      <alignment horizontal="center" vertical="center" wrapText="1"/>
    </xf>
    <xf numFmtId="176" fontId="1" fillId="0" borderId="0" xfId="0" applyFont="1">
      <alignment vertical="center"/>
    </xf>
    <xf numFmtId="176" fontId="1" fillId="0" borderId="0" xfId="0" applyFont="1" applyAlignment="1">
      <alignment horizontal="center" vertical="center"/>
    </xf>
    <xf numFmtId="176" fontId="7" fillId="0" borderId="0" xfId="0" applyFont="1" applyAlignment="1">
      <alignment horizontal="center" vertical="center"/>
    </xf>
    <xf numFmtId="176" fontId="0" fillId="0" borderId="0" xfId="0" applyAlignment="1">
      <alignment horizontal="center" vertical="center"/>
    </xf>
    <xf numFmtId="49" fontId="1" fillId="3" borderId="4" xfId="22" applyNumberFormat="1" applyFont="1" applyFill="1" applyBorder="1" applyAlignment="1">
      <alignment horizontal="center" vertical="center" wrapText="1"/>
    </xf>
    <xf numFmtId="49" fontId="1" fillId="3" borderId="0" xfId="22" applyNumberFormat="1" applyFont="1" applyFill="1" applyAlignment="1">
      <alignment horizontal="center" vertical="center" wrapText="1"/>
    </xf>
    <xf numFmtId="176" fontId="1" fillId="3" borderId="0" xfId="0" applyFont="1" applyFill="1">
      <alignment vertical="center"/>
    </xf>
    <xf numFmtId="176" fontId="7" fillId="3" borderId="0" xfId="0" applyFont="1" applyFill="1">
      <alignment vertical="center"/>
    </xf>
    <xf numFmtId="176" fontId="0" fillId="3" borderId="0" xfId="0" applyFill="1">
      <alignment vertical="center"/>
    </xf>
    <xf numFmtId="49" fontId="1" fillId="0" borderId="4" xfId="22" applyNumberFormat="1" applyFont="1" applyFill="1" applyBorder="1" applyAlignment="1">
      <alignment horizontal="center" vertical="center" wrapText="1"/>
    </xf>
    <xf numFmtId="176" fontId="19" fillId="6" borderId="19" xfId="0" applyFont="1" applyFill="1" applyBorder="1" applyAlignment="1">
      <alignment horizontal="center" vertical="center"/>
    </xf>
    <xf numFmtId="176" fontId="19" fillId="6" borderId="0" xfId="0" applyFont="1" applyFill="1" applyBorder="1" applyAlignment="1">
      <alignment horizontal="center" vertical="center"/>
    </xf>
    <xf numFmtId="14" fontId="21" fillId="6" borderId="4" xfId="16" applyNumberFormat="1" applyFont="1" applyFill="1" applyBorder="1" applyAlignment="1">
      <alignment horizontal="center" vertical="center" wrapText="1"/>
    </xf>
    <xf numFmtId="49" fontId="21" fillId="6" borderId="4" xfId="16" applyNumberFormat="1" applyFont="1" applyFill="1" applyBorder="1" applyAlignment="1">
      <alignment horizontal="center" vertical="center" wrapText="1"/>
    </xf>
    <xf numFmtId="14" fontId="21" fillId="6" borderId="4" xfId="0" applyNumberFormat="1" applyFont="1" applyFill="1" applyBorder="1" applyAlignment="1">
      <alignment horizontal="center" vertical="center"/>
    </xf>
    <xf numFmtId="176" fontId="21" fillId="6" borderId="4" xfId="22" applyFont="1" applyFill="1" applyBorder="1" applyAlignment="1">
      <alignment horizontal="center" vertical="center" wrapText="1"/>
    </xf>
    <xf numFmtId="176" fontId="26" fillId="0" borderId="4" xfId="16" applyFont="1" applyBorder="1" applyAlignment="1">
      <alignment horizontal="center" vertical="center" wrapText="1"/>
    </xf>
    <xf numFmtId="176" fontId="26" fillId="0" borderId="4" xfId="22" applyFont="1" applyBorder="1" applyAlignment="1">
      <alignment horizontal="center" vertical="center" wrapText="1"/>
    </xf>
    <xf numFmtId="176" fontId="27" fillId="0" borderId="4" xfId="22" applyFont="1" applyBorder="1" applyAlignment="1">
      <alignment horizontal="center" vertical="center" wrapText="1"/>
    </xf>
    <xf numFmtId="176" fontId="27" fillId="0" borderId="4" xfId="16" applyFont="1" applyBorder="1" applyAlignment="1">
      <alignment horizontal="center" vertical="center" wrapText="1"/>
    </xf>
    <xf numFmtId="176" fontId="28" fillId="0" borderId="4" xfId="16" applyFont="1" applyBorder="1" applyAlignment="1">
      <alignment horizontal="center" vertical="center" wrapText="1"/>
    </xf>
    <xf numFmtId="176" fontId="28" fillId="3" borderId="4" xfId="22" applyFont="1" applyFill="1" applyBorder="1" applyAlignment="1">
      <alignment horizontal="center" vertical="center" wrapText="1"/>
    </xf>
    <xf numFmtId="176" fontId="28" fillId="0" borderId="4" xfId="22" applyFont="1" applyBorder="1" applyAlignment="1">
      <alignment horizontal="center" vertical="center" wrapText="1"/>
    </xf>
    <xf numFmtId="176" fontId="1" fillId="0" borderId="4" xfId="16" applyFont="1" applyBorder="1" applyAlignment="1">
      <alignment horizontal="left" vertical="center" wrapText="1"/>
    </xf>
    <xf numFmtId="176" fontId="1" fillId="3" borderId="4" xfId="0" applyFont="1" applyFill="1" applyBorder="1" applyAlignment="1">
      <alignment horizontal="left" vertical="center" wrapText="1"/>
    </xf>
    <xf numFmtId="176" fontId="1" fillId="0" borderId="4" xfId="22" applyFont="1" applyBorder="1" applyAlignment="1">
      <alignment horizontal="left" vertical="center" wrapText="1"/>
    </xf>
    <xf numFmtId="176" fontId="1" fillId="0" borderId="0" xfId="0" applyFont="1" applyAlignment="1">
      <alignment horizontal="left" vertical="center"/>
    </xf>
    <xf numFmtId="176" fontId="7" fillId="0" borderId="0" xfId="0" applyFont="1" applyAlignment="1">
      <alignment horizontal="left" vertical="center"/>
    </xf>
    <xf numFmtId="176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9" fillId="13" borderId="4" xfId="27" applyFont="1" applyFill="1" applyBorder="1" applyAlignment="1">
      <alignment horizontal="center" vertical="center" wrapText="1"/>
    </xf>
    <xf numFmtId="0" fontId="14" fillId="0" borderId="4" xfId="27" applyFont="1" applyFill="1" applyBorder="1" applyAlignment="1">
      <alignment horizontal="center" vertical="center" wrapText="1"/>
    </xf>
    <xf numFmtId="0" fontId="14" fillId="0" borderId="4" xfId="27" applyFont="1" applyFill="1" applyBorder="1" applyAlignment="1">
      <alignment horizontal="center" vertical="center"/>
    </xf>
    <xf numFmtId="0" fontId="9" fillId="0" borderId="4" xfId="27" applyFont="1" applyFill="1" applyBorder="1" applyAlignment="1">
      <alignment horizontal="center" vertical="center" wrapText="1"/>
    </xf>
    <xf numFmtId="0" fontId="9" fillId="0" borderId="4" xfId="27" applyNumberFormat="1" applyFont="1" applyFill="1" applyBorder="1" applyAlignment="1">
      <alignment horizontal="center" vertical="center"/>
    </xf>
    <xf numFmtId="0" fontId="9" fillId="0" borderId="4" xfId="27" applyNumberFormat="1" applyFont="1" applyFill="1" applyBorder="1" applyAlignment="1">
      <alignment horizontal="center" vertical="center" wrapText="1"/>
    </xf>
    <xf numFmtId="0" fontId="9" fillId="0" borderId="5" xfId="27" applyNumberFormat="1" applyFont="1" applyFill="1" applyBorder="1" applyAlignment="1">
      <alignment horizontal="center" vertical="center"/>
    </xf>
    <xf numFmtId="0" fontId="9" fillId="0" borderId="6" xfId="27" applyNumberFormat="1" applyFont="1" applyFill="1" applyBorder="1" applyAlignment="1">
      <alignment horizontal="center" vertical="center"/>
    </xf>
    <xf numFmtId="0" fontId="9" fillId="0" borderId="9" xfId="27" applyNumberFormat="1" applyFont="1" applyFill="1" applyBorder="1" applyAlignment="1">
      <alignment horizontal="center" vertical="center"/>
    </xf>
    <xf numFmtId="0" fontId="9" fillId="0" borderId="5" xfId="27" applyNumberFormat="1" applyFont="1" applyFill="1" applyBorder="1" applyAlignment="1">
      <alignment horizontal="center" vertical="center" wrapText="1"/>
    </xf>
    <xf numFmtId="0" fontId="9" fillId="0" borderId="9" xfId="27" applyNumberFormat="1" applyFont="1" applyFill="1" applyBorder="1" applyAlignment="1">
      <alignment horizontal="center" vertical="center" wrapText="1"/>
    </xf>
    <xf numFmtId="0" fontId="14" fillId="0" borderId="5" xfId="27" applyFont="1" applyFill="1" applyBorder="1" applyAlignment="1">
      <alignment horizontal="center" vertical="center" wrapText="1"/>
    </xf>
    <xf numFmtId="0" fontId="14" fillId="0" borderId="6" xfId="27" applyFont="1" applyFill="1" applyBorder="1" applyAlignment="1">
      <alignment horizontal="center" vertical="center" wrapText="1"/>
    </xf>
    <xf numFmtId="0" fontId="14" fillId="0" borderId="9" xfId="27" applyFont="1" applyFill="1" applyBorder="1" applyAlignment="1">
      <alignment horizontal="center" vertical="center" wrapText="1"/>
    </xf>
    <xf numFmtId="0" fontId="9" fillId="0" borderId="5" xfId="27" applyFont="1" applyFill="1" applyBorder="1" applyAlignment="1">
      <alignment horizontal="center" vertical="center"/>
    </xf>
    <xf numFmtId="0" fontId="9" fillId="0" borderId="6" xfId="27" applyFont="1" applyFill="1" applyBorder="1" applyAlignment="1">
      <alignment horizontal="center" vertical="center"/>
    </xf>
    <xf numFmtId="0" fontId="9" fillId="0" borderId="9" xfId="27" applyFont="1" applyFill="1" applyBorder="1" applyAlignment="1">
      <alignment horizontal="center" vertical="center"/>
    </xf>
    <xf numFmtId="0" fontId="9" fillId="0" borderId="4" xfId="27" applyFont="1" applyFill="1" applyBorder="1" applyAlignment="1">
      <alignment horizontal="center" vertical="center"/>
    </xf>
    <xf numFmtId="0" fontId="9" fillId="0" borderId="6" xfId="27" applyFont="1" applyFill="1" applyBorder="1" applyAlignment="1">
      <alignment horizontal="center" vertical="center" wrapText="1"/>
    </xf>
    <xf numFmtId="0" fontId="9" fillId="0" borderId="9" xfId="27" applyFont="1" applyFill="1" applyBorder="1" applyAlignment="1">
      <alignment horizontal="center" vertical="center" wrapText="1"/>
    </xf>
    <xf numFmtId="0" fontId="13" fillId="0" borderId="4" xfId="27" applyFont="1" applyFill="1" applyBorder="1" applyAlignment="1">
      <alignment horizontal="center" vertical="center"/>
    </xf>
    <xf numFmtId="0" fontId="13" fillId="0" borderId="4" xfId="27" applyFont="1" applyFill="1" applyBorder="1" applyAlignment="1">
      <alignment horizontal="center" vertical="center" wrapText="1"/>
    </xf>
    <xf numFmtId="0" fontId="12" fillId="0" borderId="4" xfId="27" applyFont="1" applyFill="1" applyBorder="1" applyAlignment="1">
      <alignment horizontal="center" vertical="center"/>
    </xf>
    <xf numFmtId="0" fontId="13" fillId="0" borderId="4" xfId="27" applyNumberFormat="1" applyFont="1" applyFill="1" applyBorder="1" applyAlignment="1">
      <alignment horizontal="left" vertical="center"/>
    </xf>
    <xf numFmtId="0" fontId="13" fillId="0" borderId="4" xfId="27" applyFont="1" applyFill="1" applyBorder="1" applyAlignment="1">
      <alignment horizontal="left" vertical="center"/>
    </xf>
    <xf numFmtId="0" fontId="17" fillId="0" borderId="4" xfId="27" applyNumberFormat="1" applyFont="1" applyFill="1" applyBorder="1" applyAlignment="1">
      <alignment horizontal="center" vertical="center" wrapText="1"/>
    </xf>
    <xf numFmtId="0" fontId="13" fillId="0" borderId="1" xfId="27" applyFont="1" applyFill="1" applyBorder="1" applyAlignment="1">
      <alignment horizontal="left" vertical="center"/>
    </xf>
    <xf numFmtId="0" fontId="13" fillId="0" borderId="2" xfId="27" applyFont="1" applyFill="1" applyBorder="1" applyAlignment="1">
      <alignment horizontal="left" vertical="center"/>
    </xf>
    <xf numFmtId="0" fontId="13" fillId="0" borderId="3" xfId="27" applyFont="1" applyFill="1" applyBorder="1" applyAlignment="1">
      <alignment horizontal="left" vertical="center"/>
    </xf>
  </cellXfs>
  <cellStyles count="30">
    <cellStyle name="百分比 2" xfId="29"/>
    <cellStyle name="差_统计表" xfId="7"/>
    <cellStyle name="常规" xfId="0" builtinId="0"/>
    <cellStyle name="常规 10" xfId="17"/>
    <cellStyle name="常规 10 2" xfId="22"/>
    <cellStyle name="常规 10 3" xfId="26"/>
    <cellStyle name="常规 11" xfId="27"/>
    <cellStyle name="常规 16" xfId="18"/>
    <cellStyle name="常规 16 2" xfId="25"/>
    <cellStyle name="常规 2" xfId="11"/>
    <cellStyle name="常规 2 2" xfId="8"/>
    <cellStyle name="常规 2 3" xfId="10"/>
    <cellStyle name="常规 2 4" xfId="28"/>
    <cellStyle name="常规 2_统计表" xfId="12"/>
    <cellStyle name="常规 3" xfId="14"/>
    <cellStyle name="常规 3 2" xfId="6"/>
    <cellStyle name="常规 3 4" xfId="9"/>
    <cellStyle name="常规 3 4 2" xfId="13"/>
    <cellStyle name="常规 3 4 3" xfId="2"/>
    <cellStyle name="常规 3 4 4" xfId="3"/>
    <cellStyle name="常规 3_统计表" xfId="5"/>
    <cellStyle name="常规 4" xfId="15"/>
    <cellStyle name="常规 5" xfId="16"/>
    <cellStyle name="常规 6" xfId="19"/>
    <cellStyle name="常规 6 2" xfId="20"/>
    <cellStyle name="常规 7" xfId="23"/>
    <cellStyle name="常规 8" xfId="24"/>
    <cellStyle name="常规 9" xfId="21"/>
    <cellStyle name="好_统计表" xfId="1"/>
    <cellStyle name="표준_DYK-2 타이어라인 OLT (보고)_061120" xfId="4"/>
  </cellStyles>
  <dxfs count="9"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1"/>
        </patternFill>
      </fill>
    </dxf>
    <dxf>
      <font>
        <b/>
        <i/>
      </font>
    </dxf>
  </dxfs>
  <tableStyles count="0" defaultTableStyle="TableStyleMedium9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132747</xdr:rowOff>
    </xdr:from>
    <xdr:to>
      <xdr:col>1</xdr:col>
      <xdr:colOff>675324</xdr:colOff>
      <xdr:row>1</xdr:row>
      <xdr:rowOff>117232</xdr:rowOff>
    </xdr:to>
    <xdr:pic>
      <xdr:nvPicPr>
        <xdr:cNvPr id="2" name="图片 1" descr="说明: 品牌标志+北京汽车+BAIC MOTOR（横）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32747"/>
          <a:ext cx="1180149" cy="2607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AppData\Local\Microsoft\Windows\Temporary%20Internet%20Files\Content.Outlook\8LX95EUM\C62X&#39033;&#30446;&#24037;&#20301;&#39564;&#35777;&#28165;&#21333;&#65288;&#21551;&#29992;&#23439;&#65289;-&#28938;&#35013;&#27169;&#26495;&#65288;V3_0402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汇总表"/>
      <sheetName val="问题清单"/>
      <sheetName val="辅助表"/>
      <sheetName val="工序工时定额表"/>
      <sheetName val="版本更新记录"/>
    </sheetNames>
    <sheetDataSet>
      <sheetData sheetId="0"/>
      <sheetData sheetId="1"/>
      <sheetData sheetId="2"/>
      <sheetData sheetId="3">
        <row r="2">
          <cell r="F2" t="str">
            <v>工位号</v>
          </cell>
          <cell r="G2" t="str">
            <v>工位名称</v>
          </cell>
        </row>
        <row r="3">
          <cell r="F3" t="str">
            <v>W1FF4-010</v>
          </cell>
          <cell r="G3" t="str">
            <v>前地板1#</v>
          </cell>
        </row>
        <row r="4">
          <cell r="F4" t="str">
            <v>W1FF4-020</v>
          </cell>
          <cell r="G4" t="str">
            <v>前地板2#</v>
          </cell>
        </row>
        <row r="5">
          <cell r="F5" t="str">
            <v>W1FF4-030</v>
          </cell>
          <cell r="G5" t="str">
            <v>前地板3#</v>
          </cell>
        </row>
        <row r="6">
          <cell r="F6" t="str">
            <v>W1FF4-040</v>
          </cell>
          <cell r="G6" t="str">
            <v>前地板4#</v>
          </cell>
        </row>
        <row r="7">
          <cell r="F7" t="str">
            <v>W1FF4-050</v>
          </cell>
          <cell r="G7" t="str">
            <v>前地板5#</v>
          </cell>
        </row>
        <row r="8">
          <cell r="F8" t="str">
            <v>W1FF4-060</v>
          </cell>
          <cell r="G8" t="str">
            <v>前地板6#</v>
          </cell>
        </row>
        <row r="9">
          <cell r="F9" t="str">
            <v>W1FF4-070</v>
          </cell>
          <cell r="G9" t="str">
            <v>前地板7#</v>
          </cell>
        </row>
        <row r="10">
          <cell r="F10" t="str">
            <v>W1DA4-010</v>
          </cell>
          <cell r="G10" t="str">
            <v>前围板1#</v>
          </cell>
        </row>
        <row r="11">
          <cell r="F11" t="str">
            <v>W1DA4-020</v>
          </cell>
          <cell r="G11" t="str">
            <v>前围板2#</v>
          </cell>
        </row>
        <row r="12">
          <cell r="F12" t="str">
            <v>W1DA4-030</v>
          </cell>
          <cell r="G12" t="str">
            <v>前围板3#</v>
          </cell>
        </row>
        <row r="13">
          <cell r="F13" t="str">
            <v>W1DA4-040</v>
          </cell>
          <cell r="G13" t="str">
            <v>前围板4#</v>
          </cell>
        </row>
        <row r="14">
          <cell r="F14" t="str">
            <v>W1DA4-050</v>
          </cell>
          <cell r="G14" t="str">
            <v>前围板5#</v>
          </cell>
        </row>
        <row r="15">
          <cell r="F15" t="str">
            <v>W1DA4-060</v>
          </cell>
          <cell r="G15" t="str">
            <v>前围板6#</v>
          </cell>
        </row>
        <row r="16">
          <cell r="F16" t="str">
            <v>W1HP4-010</v>
          </cell>
          <cell r="G16" t="str">
            <v>空气室1#</v>
          </cell>
        </row>
        <row r="17">
          <cell r="F17" t="str">
            <v>W1HP4-020</v>
          </cell>
          <cell r="G17" t="str">
            <v>空气室2#</v>
          </cell>
        </row>
        <row r="18">
          <cell r="F18" t="str">
            <v>W1RR4-010L</v>
          </cell>
          <cell r="G18" t="str">
            <v>后纵梁总成1#-左</v>
          </cell>
        </row>
        <row r="19">
          <cell r="F19" t="str">
            <v>W1RR4-020L</v>
          </cell>
          <cell r="G19" t="str">
            <v>后纵梁总成2#-左</v>
          </cell>
        </row>
        <row r="20">
          <cell r="F20" t="str">
            <v>W1RR4-010R</v>
          </cell>
          <cell r="G20" t="str">
            <v>后纵梁总成1#-右</v>
          </cell>
        </row>
        <row r="21">
          <cell r="F21" t="str">
            <v>W1RR4-020R</v>
          </cell>
          <cell r="G21" t="str">
            <v>后纵梁总成2#-右</v>
          </cell>
        </row>
        <row r="22">
          <cell r="F22" t="str">
            <v>W1RF4-010</v>
          </cell>
          <cell r="G22" t="str">
            <v>后地板1#</v>
          </cell>
        </row>
        <row r="23">
          <cell r="F23" t="str">
            <v>W1RF4-020</v>
          </cell>
          <cell r="G23" t="str">
            <v>后地板2#</v>
          </cell>
        </row>
        <row r="24">
          <cell r="F24" t="str">
            <v>W1RF4-030</v>
          </cell>
          <cell r="G24" t="str">
            <v>后地板3#</v>
          </cell>
        </row>
        <row r="25">
          <cell r="F25" t="str">
            <v>W1RF4-040</v>
          </cell>
          <cell r="G25" t="str">
            <v>后地板4#</v>
          </cell>
        </row>
        <row r="26">
          <cell r="F26" t="str">
            <v>W1RF4-050</v>
          </cell>
          <cell r="G26" t="str">
            <v>后地板5#</v>
          </cell>
        </row>
        <row r="27">
          <cell r="F27" t="str">
            <v>W1RF4-060</v>
          </cell>
          <cell r="G27" t="str">
            <v>后地板6#</v>
          </cell>
        </row>
        <row r="28">
          <cell r="F28" t="str">
            <v>W1RF4-070</v>
          </cell>
          <cell r="G28" t="str">
            <v>后地板7#</v>
          </cell>
        </row>
        <row r="29">
          <cell r="F29" t="str">
            <v>W1RF4-080</v>
          </cell>
          <cell r="G29" t="str">
            <v>后地板8#</v>
          </cell>
        </row>
        <row r="30">
          <cell r="F30" t="str">
            <v>W1RF4-090</v>
          </cell>
          <cell r="G30" t="str">
            <v>后地板9#</v>
          </cell>
        </row>
        <row r="31">
          <cell r="F31" t="str">
            <v>W1RF4-100</v>
          </cell>
          <cell r="G31" t="str">
            <v>后地板10#</v>
          </cell>
        </row>
        <row r="32">
          <cell r="F32" t="str">
            <v>W1FU4-010R</v>
          </cell>
          <cell r="G32" t="str">
            <v>前纵梁右1#</v>
          </cell>
        </row>
        <row r="33">
          <cell r="F33" t="str">
            <v>W1FU4-020R</v>
          </cell>
          <cell r="G33" t="str">
            <v>前纵梁右2#</v>
          </cell>
        </row>
        <row r="34">
          <cell r="F34" t="str">
            <v>W1FU4-030R</v>
          </cell>
          <cell r="G34" t="str">
            <v>前纵梁右3#</v>
          </cell>
        </row>
        <row r="35">
          <cell r="F35" t="str">
            <v>W1FU4-040R</v>
          </cell>
          <cell r="G35" t="str">
            <v>前纵梁右4#</v>
          </cell>
        </row>
        <row r="36">
          <cell r="F36" t="str">
            <v>W1FU4-010L</v>
          </cell>
          <cell r="G36" t="str">
            <v>前纵梁左1#</v>
          </cell>
        </row>
        <row r="37">
          <cell r="F37" t="str">
            <v>W1FU4-020L</v>
          </cell>
          <cell r="G37" t="str">
            <v>前纵梁左2#</v>
          </cell>
        </row>
        <row r="38">
          <cell r="F38" t="str">
            <v>W1FU4-030L</v>
          </cell>
          <cell r="G38" t="str">
            <v>前纵梁左3#</v>
          </cell>
        </row>
        <row r="39">
          <cell r="F39" t="str">
            <v>W1FU4-040L</v>
          </cell>
          <cell r="G39" t="str">
            <v>前纵梁左4#</v>
          </cell>
        </row>
        <row r="40">
          <cell r="F40" t="str">
            <v>W1BSI4-010L</v>
          </cell>
          <cell r="G40" t="str">
            <v>后轮罩外板总成-左</v>
          </cell>
        </row>
        <row r="41">
          <cell r="F41" t="str">
            <v>W1BSI4-020L</v>
          </cell>
          <cell r="G41" t="str">
            <v>C柱内板总成合件-左</v>
          </cell>
        </row>
        <row r="42">
          <cell r="F42" t="str">
            <v>W1BSI4-030L</v>
          </cell>
          <cell r="G42" t="str">
            <v>C柱内板总成-左</v>
          </cell>
        </row>
        <row r="43">
          <cell r="F43" t="str">
            <v>W1BSI4-040L</v>
          </cell>
          <cell r="G43" t="str">
            <v>C柱加强板总成-左</v>
          </cell>
        </row>
        <row r="44">
          <cell r="F44" t="str">
            <v>W1BSI4-110L</v>
          </cell>
          <cell r="G44" t="str">
            <v>尾灯盒总成-左</v>
          </cell>
        </row>
        <row r="45">
          <cell r="F45" t="str">
            <v>W1BSI4-050L</v>
          </cell>
          <cell r="G45" t="str">
            <v>后侧围内板总成合件-左</v>
          </cell>
        </row>
        <row r="46">
          <cell r="F46" t="str">
            <v>W1BSI4-060L</v>
          </cell>
          <cell r="G46" t="str">
            <v>后侧围内板总成-左</v>
          </cell>
        </row>
        <row r="47">
          <cell r="F47" t="str">
            <v>W1BSI4-070L</v>
          </cell>
          <cell r="G47" t="str">
            <v>后侧围内板总成-左</v>
          </cell>
        </row>
        <row r="48">
          <cell r="F48" t="str">
            <v>W1BSI4-080L</v>
          </cell>
          <cell r="G48" t="str">
            <v>后侧围内板分总成-左</v>
          </cell>
        </row>
        <row r="49">
          <cell r="F49" t="str">
            <v>W1BSI4-090L</v>
          </cell>
          <cell r="G49" t="str">
            <v>后侧围内板总成-左</v>
          </cell>
        </row>
        <row r="50">
          <cell r="F50" t="str">
            <v>W1BSI4-100L</v>
          </cell>
          <cell r="G50" t="str">
            <v>后侧围内板总成-左</v>
          </cell>
        </row>
        <row r="51">
          <cell r="F51" t="str">
            <v>W1BSI4-010R</v>
          </cell>
          <cell r="G51" t="str">
            <v>后轮罩外板总成-右</v>
          </cell>
        </row>
        <row r="52">
          <cell r="F52" t="str">
            <v>W1BSI4-020R</v>
          </cell>
          <cell r="G52" t="str">
            <v>C柱内板总成合件-右</v>
          </cell>
        </row>
        <row r="53">
          <cell r="F53" t="str">
            <v>W1BSI4-030R</v>
          </cell>
          <cell r="G53" t="str">
            <v>C柱内板总成-右</v>
          </cell>
        </row>
        <row r="54">
          <cell r="F54" t="str">
            <v>W1BSI4-040R</v>
          </cell>
          <cell r="G54" t="str">
            <v>C柱加强板总成-右</v>
          </cell>
        </row>
        <row r="55">
          <cell r="F55" t="str">
            <v>W1BSI4-110R</v>
          </cell>
          <cell r="G55" t="str">
            <v>尾灯盒总成-右</v>
          </cell>
        </row>
        <row r="56">
          <cell r="F56" t="str">
            <v>W1BSI4-050R</v>
          </cell>
          <cell r="G56" t="str">
            <v>后侧围内板总成合件-右</v>
          </cell>
        </row>
        <row r="57">
          <cell r="F57" t="str">
            <v>W1BSI4-060R</v>
          </cell>
          <cell r="G57" t="str">
            <v>后侧围内板总成-右</v>
          </cell>
        </row>
        <row r="58">
          <cell r="F58" t="str">
            <v>W1BSI4-070R</v>
          </cell>
          <cell r="G58" t="str">
            <v>后侧围内板总成-右</v>
          </cell>
        </row>
        <row r="59">
          <cell r="F59" t="str">
            <v>W1BSI4-080R</v>
          </cell>
          <cell r="G59" t="str">
            <v>后侧围内板分总成-右</v>
          </cell>
        </row>
        <row r="60">
          <cell r="F60" t="str">
            <v>W1BSI4-090R</v>
          </cell>
          <cell r="G60" t="str">
            <v>后侧围内板总成-右</v>
          </cell>
        </row>
        <row r="61">
          <cell r="F61" t="str">
            <v>W1BSI4-100R</v>
          </cell>
          <cell r="G61" t="str">
            <v>后侧围内板总成-右</v>
          </cell>
        </row>
        <row r="62">
          <cell r="F62" t="str">
            <v>W1BS1-010L</v>
          </cell>
          <cell r="G62" t="str">
            <v>侧围外板-左对中工位</v>
          </cell>
        </row>
        <row r="63">
          <cell r="F63" t="str">
            <v>W1BS1-020L</v>
          </cell>
          <cell r="G63" t="str">
            <v>侧围外板-左上件工位</v>
          </cell>
        </row>
        <row r="64">
          <cell r="F64" t="str">
            <v>W1BS1-030L</v>
          </cell>
          <cell r="G64" t="str">
            <v>侧围外板总成-左上件工位</v>
          </cell>
        </row>
        <row r="65">
          <cell r="F65" t="str">
            <v>W1BS1-040L</v>
          </cell>
          <cell r="G65" t="str">
            <v>侧围外板总成-左焊接涂胶工位</v>
          </cell>
        </row>
        <row r="66">
          <cell r="F66" t="str">
            <v>W1BS1-050L</v>
          </cell>
          <cell r="G66" t="str">
            <v>侧围前部总成-左/右上件焊接工位</v>
          </cell>
        </row>
        <row r="67">
          <cell r="F67" t="str">
            <v>W1BS1-060L</v>
          </cell>
          <cell r="G67" t="str">
            <v>后侧围内板总成总成-左/右上件焊接工位</v>
          </cell>
        </row>
        <row r="68">
          <cell r="F68" t="str">
            <v>W1BS1-070L</v>
          </cell>
          <cell r="G68" t="str">
            <v>侧围总成-左/右补焊工位</v>
          </cell>
        </row>
        <row r="69">
          <cell r="F69" t="str">
            <v>W1BS1-080L</v>
          </cell>
          <cell r="G69" t="str">
            <v>侧围总成-左/右转运工位</v>
          </cell>
        </row>
        <row r="70">
          <cell r="F70" t="str">
            <v>W1BS1-090L</v>
          </cell>
          <cell r="G70" t="str">
            <v>侧围总成-左/右下线工位</v>
          </cell>
        </row>
        <row r="71">
          <cell r="F71" t="str">
            <v>W1BS1-010R</v>
          </cell>
          <cell r="G71" t="str">
            <v>侧围外板-左/右对中工位</v>
          </cell>
        </row>
        <row r="72">
          <cell r="F72" t="str">
            <v>W1BS1-020R</v>
          </cell>
          <cell r="G72" t="str">
            <v>侧围外板-左/右上件工位</v>
          </cell>
        </row>
        <row r="73">
          <cell r="F73" t="str">
            <v>W1BS1-030R</v>
          </cell>
          <cell r="G73" t="str">
            <v>侧围外板总成-左/右上件工位</v>
          </cell>
        </row>
        <row r="74">
          <cell r="F74" t="str">
            <v>W1BS1-040R</v>
          </cell>
          <cell r="G74" t="str">
            <v>侧围外板总成-左/右焊接涂胶工位</v>
          </cell>
        </row>
        <row r="75">
          <cell r="F75" t="str">
            <v>W1BS1-050R</v>
          </cell>
          <cell r="G75" t="str">
            <v>侧围前部总成-左/右上件焊接工位</v>
          </cell>
        </row>
        <row r="76">
          <cell r="F76" t="str">
            <v>W1BS1-060R</v>
          </cell>
          <cell r="G76" t="str">
            <v>后侧围内板总成总成-左/右上件焊接工位</v>
          </cell>
        </row>
        <row r="77">
          <cell r="F77" t="str">
            <v>W1BS1-070R</v>
          </cell>
          <cell r="G77" t="str">
            <v>侧围总成-左/右补焊工位</v>
          </cell>
        </row>
        <row r="78">
          <cell r="F78" t="str">
            <v>W1BS1-080R</v>
          </cell>
          <cell r="G78" t="str">
            <v>侧围总成-左/右转运工位</v>
          </cell>
        </row>
        <row r="79">
          <cell r="F79" t="str">
            <v>W1BS1-090R</v>
          </cell>
          <cell r="G79" t="str">
            <v>侧围总成-左/右下线工位</v>
          </cell>
        </row>
        <row r="80">
          <cell r="F80" t="str">
            <v>W1ER3-010</v>
          </cell>
          <cell r="G80" t="str">
            <v>前机舱总成人工上件</v>
          </cell>
        </row>
        <row r="81">
          <cell r="F81" t="str">
            <v>W1ER3-020</v>
          </cell>
          <cell r="G81" t="str">
            <v>前机舱总成焊接</v>
          </cell>
        </row>
        <row r="82">
          <cell r="F82" t="str">
            <v>W1ER3-030</v>
          </cell>
          <cell r="G82" t="str">
            <v>左右A柱挡板总成上件</v>
          </cell>
        </row>
        <row r="83">
          <cell r="F83" t="str">
            <v>W1ER3-040</v>
          </cell>
          <cell r="G83" t="str">
            <v>下车体前部总成焊接</v>
          </cell>
        </row>
        <row r="84">
          <cell r="F84" t="str">
            <v>W1ER3-050</v>
          </cell>
          <cell r="G84" t="str">
            <v>前地板总成上件</v>
          </cell>
        </row>
        <row r="85">
          <cell r="F85" t="str">
            <v>W1ER3-060</v>
          </cell>
          <cell r="G85" t="str">
            <v>下车体前部总成焊接</v>
          </cell>
        </row>
        <row r="86">
          <cell r="F86" t="str">
            <v>W1ER3-070</v>
          </cell>
          <cell r="G86" t="str">
            <v>下车体前部总成焊接</v>
          </cell>
        </row>
        <row r="87">
          <cell r="F87" t="str">
            <v>W1ER3-080</v>
          </cell>
          <cell r="G87" t="str">
            <v>下车体前部总成焊接</v>
          </cell>
        </row>
        <row r="88">
          <cell r="F88" t="str">
            <v>W1UB-030</v>
          </cell>
          <cell r="G88" t="str">
            <v>机舱前地板、后地板上件</v>
          </cell>
        </row>
        <row r="89">
          <cell r="F89" t="str">
            <v>W1UB-040</v>
          </cell>
          <cell r="G89" t="str">
            <v>补焊工位</v>
          </cell>
        </row>
        <row r="90">
          <cell r="F90" t="str">
            <v>W1UB-050</v>
          </cell>
          <cell r="G90" t="str">
            <v>空气室总成上件</v>
          </cell>
        </row>
        <row r="91">
          <cell r="F91" t="str">
            <v>W1UB-060</v>
          </cell>
          <cell r="G91" t="str">
            <v>下车体补焊工位</v>
          </cell>
        </row>
        <row r="92">
          <cell r="F92" t="str">
            <v>W1UB-070</v>
          </cell>
          <cell r="G92" t="str">
            <v>后围总成上件</v>
          </cell>
        </row>
        <row r="93">
          <cell r="F93" t="str">
            <v>W1UB-080</v>
          </cell>
          <cell r="G93" t="str">
            <v>下车体补焊工位</v>
          </cell>
        </row>
        <row r="94">
          <cell r="F94" t="str">
            <v>W1UB-090</v>
          </cell>
          <cell r="G94" t="str">
            <v>下车体补焊工位</v>
          </cell>
        </row>
        <row r="95">
          <cell r="F95" t="str">
            <v>W1UB-100</v>
          </cell>
          <cell r="G95" t="str">
            <v>下车体植焊工位</v>
          </cell>
        </row>
        <row r="96">
          <cell r="F96" t="str">
            <v>W1MB-020</v>
          </cell>
          <cell r="G96" t="str">
            <v>强度检查</v>
          </cell>
        </row>
        <row r="97">
          <cell r="F97" t="str">
            <v>W1MB-030</v>
          </cell>
          <cell r="G97" t="str">
            <v>前防撞梁安装组件、翼子板支架人工焊接</v>
          </cell>
        </row>
        <row r="98">
          <cell r="F98" t="str">
            <v>W1MB-110</v>
          </cell>
          <cell r="G98" t="str">
            <v>侧围及前后横梁预拼工位</v>
          </cell>
        </row>
        <row r="99">
          <cell r="F99" t="str">
            <v>W1MB-120</v>
          </cell>
          <cell r="G99" t="str">
            <v>侧围预搭扣、强度检查工位</v>
          </cell>
        </row>
        <row r="100">
          <cell r="F100" t="str">
            <v>W1MB-140</v>
          </cell>
          <cell r="G100" t="str">
            <v>总拼工位</v>
          </cell>
        </row>
        <row r="101">
          <cell r="F101" t="str">
            <v>W1MB-160</v>
          </cell>
          <cell r="G101" t="str">
            <v>车身补焊工位</v>
          </cell>
        </row>
        <row r="102">
          <cell r="F102" t="str">
            <v>W1MB-180</v>
          </cell>
          <cell r="G102" t="str">
            <v>车身补焊工位</v>
          </cell>
        </row>
        <row r="103">
          <cell r="F103" t="str">
            <v>W1MB-190</v>
          </cell>
          <cell r="G103" t="str">
            <v>车身补焊工位</v>
          </cell>
        </row>
        <row r="104">
          <cell r="F104" t="str">
            <v>W1MB-200</v>
          </cell>
          <cell r="G104" t="str">
            <v>涂胶工位</v>
          </cell>
        </row>
        <row r="105">
          <cell r="F105" t="str">
            <v>W1MB-210</v>
          </cell>
          <cell r="G105" t="str">
            <v>顶盖安装工位</v>
          </cell>
        </row>
        <row r="106">
          <cell r="F106" t="str">
            <v>W1MB-220</v>
          </cell>
          <cell r="G106" t="str">
            <v>车身补焊工位</v>
          </cell>
        </row>
        <row r="107">
          <cell r="F107" t="str">
            <v>W1MB-250</v>
          </cell>
          <cell r="G107" t="str">
            <v>侧围连接板上件工位</v>
          </cell>
        </row>
        <row r="108">
          <cell r="F108" t="str">
            <v>W1MB-260</v>
          </cell>
          <cell r="G108" t="str">
            <v>机器人补焊工位</v>
          </cell>
        </row>
        <row r="109">
          <cell r="F109" t="str">
            <v>W1MB-270</v>
          </cell>
          <cell r="G109" t="str">
            <v>机器人补焊工位</v>
          </cell>
        </row>
        <row r="110">
          <cell r="F110" t="str">
            <v>W1MB-280</v>
          </cell>
          <cell r="G110" t="str">
            <v>机器人CO2工位</v>
          </cell>
        </row>
        <row r="111">
          <cell r="F111" t="str">
            <v>W1MB-290</v>
          </cell>
          <cell r="G111" t="str">
            <v>铰链安装工位</v>
          </cell>
        </row>
        <row r="112">
          <cell r="F112" t="str">
            <v>W1FL-010</v>
          </cell>
          <cell r="G112" t="str">
            <v>强度检查</v>
          </cell>
        </row>
        <row r="113">
          <cell r="F113" t="str">
            <v>W1RA3-010</v>
          </cell>
          <cell r="G113" t="str">
            <v>顶盖总成（天窗、非天窗）</v>
          </cell>
        </row>
        <row r="114">
          <cell r="F114" t="str">
            <v>W1RA3-020</v>
          </cell>
          <cell r="G114" t="str">
            <v>顶盖总成（非天窗）</v>
          </cell>
        </row>
        <row r="115">
          <cell r="F115" t="str">
            <v>W1RA3-030</v>
          </cell>
          <cell r="G115" t="str">
            <v>顶盖总成检查</v>
          </cell>
        </row>
        <row r="116">
          <cell r="F116" t="str">
            <v>W1BD1-010</v>
          </cell>
          <cell r="G116" t="str">
            <v>尾门内板分总成点定</v>
          </cell>
        </row>
        <row r="117">
          <cell r="F117" t="str">
            <v>W1BD1-020</v>
          </cell>
          <cell r="G117" t="str">
            <v>尾门内板总成点定</v>
          </cell>
        </row>
        <row r="118">
          <cell r="F118" t="str">
            <v>W1BD1-025</v>
          </cell>
          <cell r="G118" t="str">
            <v>尾门内板总成补焊</v>
          </cell>
        </row>
        <row r="119">
          <cell r="F119" t="str">
            <v>W1BD1-030</v>
          </cell>
          <cell r="G119" t="str">
            <v>尾门外板总成点定</v>
          </cell>
        </row>
        <row r="120">
          <cell r="F120" t="str">
            <v>W1BD1-035</v>
          </cell>
          <cell r="G120" t="str">
            <v>尾门外板总成补焊</v>
          </cell>
        </row>
        <row r="121">
          <cell r="F121" t="str">
            <v>W1BD1-040</v>
          </cell>
          <cell r="G121" t="str">
            <v>尾门内外板上件、涂胶</v>
          </cell>
        </row>
        <row r="122">
          <cell r="F122" t="str">
            <v>W1BD1-050</v>
          </cell>
          <cell r="G122" t="str">
            <v>尾门总成滚边</v>
          </cell>
        </row>
        <row r="123">
          <cell r="F123" t="str">
            <v>W1BD1-060</v>
          </cell>
          <cell r="G123" t="str">
            <v>尾门总成机器人补焊</v>
          </cell>
        </row>
        <row r="124">
          <cell r="F124" t="str">
            <v>W1BD1-065</v>
          </cell>
          <cell r="G124" t="str">
            <v>尾门总成人工补焊</v>
          </cell>
        </row>
        <row r="125">
          <cell r="F125" t="str">
            <v>W1BD1-070</v>
          </cell>
          <cell r="G125" t="str">
            <v>尾门总成下件</v>
          </cell>
        </row>
        <row r="126">
          <cell r="F126" t="str">
            <v>W1HD1-010</v>
          </cell>
          <cell r="G126" t="str">
            <v>发动机盖内板总成点定</v>
          </cell>
        </row>
        <row r="127">
          <cell r="F127" t="str">
            <v>W1HD1-015</v>
          </cell>
          <cell r="G127" t="str">
            <v>发动机盖内板总成补焊</v>
          </cell>
        </row>
        <row r="128">
          <cell r="F128" t="str">
            <v>W1HD1-020</v>
          </cell>
          <cell r="G128" t="str">
            <v>发动机盖内板涂胶上件工位</v>
          </cell>
        </row>
        <row r="129">
          <cell r="F129" t="str">
            <v>W1HD1-030</v>
          </cell>
          <cell r="G129" t="str">
            <v>发动机盖滚边</v>
          </cell>
        </row>
        <row r="130">
          <cell r="F130" t="str">
            <v>W1HD1-040</v>
          </cell>
          <cell r="G130" t="str">
            <v>发动机盖下件工位</v>
          </cell>
        </row>
        <row r="131">
          <cell r="F131" t="str">
            <v>W1FD1-010L</v>
          </cell>
          <cell r="G131" t="str">
            <v>左前门内板分总成点定</v>
          </cell>
        </row>
        <row r="132">
          <cell r="F132" t="str">
            <v>W1FD1-020L</v>
          </cell>
          <cell r="G132" t="str">
            <v>左前门内板分总成补焊</v>
          </cell>
        </row>
        <row r="133">
          <cell r="F133" t="str">
            <v>W1FD1-030L</v>
          </cell>
          <cell r="G133" t="str">
            <v>左前门内板总成</v>
          </cell>
        </row>
        <row r="134">
          <cell r="F134" t="str">
            <v>W1FD2-040L</v>
          </cell>
          <cell r="G134" t="str">
            <v>左前门内外板上件、涂胶</v>
          </cell>
        </row>
        <row r="135">
          <cell r="F135" t="str">
            <v>W1FD2-050L</v>
          </cell>
          <cell r="G135" t="str">
            <v>左前门滚边</v>
          </cell>
        </row>
        <row r="136">
          <cell r="F136" t="str">
            <v>W1FD2-060L</v>
          </cell>
          <cell r="G136" t="str">
            <v>左前门机器人补焊</v>
          </cell>
        </row>
        <row r="137">
          <cell r="F137" t="str">
            <v>W1FD2-070L</v>
          </cell>
          <cell r="G137" t="str">
            <v>左前门总成下件检查</v>
          </cell>
        </row>
        <row r="138">
          <cell r="F138" t="str">
            <v>W1FD1-010R</v>
          </cell>
          <cell r="G138" t="str">
            <v>右前门内板分总成点定</v>
          </cell>
        </row>
        <row r="139">
          <cell r="F139" t="str">
            <v>W1FD1-020R</v>
          </cell>
          <cell r="G139" t="str">
            <v>右前门内板分总成补焊</v>
          </cell>
        </row>
        <row r="140">
          <cell r="F140" t="str">
            <v>W1FD1-030R</v>
          </cell>
          <cell r="G140" t="str">
            <v>右前门内板总成</v>
          </cell>
        </row>
        <row r="141">
          <cell r="F141" t="str">
            <v>W1FD2-040R</v>
          </cell>
          <cell r="G141" t="str">
            <v>右前门内外板上件、涂胶</v>
          </cell>
        </row>
        <row r="142">
          <cell r="F142" t="str">
            <v>W1FD2-050R</v>
          </cell>
          <cell r="G142" t="str">
            <v>右前门滚边</v>
          </cell>
        </row>
        <row r="143">
          <cell r="F143" t="str">
            <v>W1FD2-060R</v>
          </cell>
          <cell r="G143" t="str">
            <v>右前门机器人补焊</v>
          </cell>
        </row>
        <row r="144">
          <cell r="F144" t="str">
            <v>W1FD2-070R</v>
          </cell>
          <cell r="G144" t="str">
            <v>右前门总成下件检查</v>
          </cell>
        </row>
        <row r="145">
          <cell r="F145" t="str">
            <v>W1RD1-010L</v>
          </cell>
          <cell r="G145" t="str">
            <v>左后门内板分总成点定</v>
          </cell>
        </row>
        <row r="146">
          <cell r="F146" t="str">
            <v>W1RD1-015L</v>
          </cell>
          <cell r="G146" t="str">
            <v>左后门内板分总成补焊</v>
          </cell>
        </row>
        <row r="147">
          <cell r="F147" t="str">
            <v>W1RD1-020L</v>
          </cell>
          <cell r="G147" t="str">
            <v>左后门内板总成</v>
          </cell>
        </row>
        <row r="148">
          <cell r="F148" t="str">
            <v>W1RD2-030L</v>
          </cell>
          <cell r="G148" t="str">
            <v>左后门上件、涂胶</v>
          </cell>
        </row>
        <row r="149">
          <cell r="F149" t="str">
            <v>W1RD2-040L</v>
          </cell>
          <cell r="G149" t="str">
            <v>左后门滚边</v>
          </cell>
        </row>
        <row r="150">
          <cell r="F150" t="str">
            <v>W1RD2-050L</v>
          </cell>
          <cell r="G150" t="str">
            <v>左后门补焊</v>
          </cell>
        </row>
        <row r="151">
          <cell r="F151" t="str">
            <v>W1RD2-060L</v>
          </cell>
          <cell r="G151" t="str">
            <v>左后门钣金总成检查</v>
          </cell>
        </row>
        <row r="152">
          <cell r="F152" t="str">
            <v>W1RD1-010R</v>
          </cell>
          <cell r="G152" t="str">
            <v>右后门内板分总成点定</v>
          </cell>
        </row>
        <row r="153">
          <cell r="F153" t="str">
            <v>W1RD1-015R</v>
          </cell>
          <cell r="G153" t="str">
            <v>右后门内板分总成补焊</v>
          </cell>
        </row>
        <row r="154">
          <cell r="F154" t="str">
            <v>W1RD1-020R</v>
          </cell>
          <cell r="G154" t="str">
            <v>右后门内板总成</v>
          </cell>
        </row>
        <row r="155">
          <cell r="F155" t="str">
            <v>W1RD2-030R</v>
          </cell>
          <cell r="G155" t="str">
            <v>右后门上件</v>
          </cell>
        </row>
        <row r="156">
          <cell r="F156" t="str">
            <v>W1RD2-040R</v>
          </cell>
          <cell r="G156" t="str">
            <v>左后门滚边</v>
          </cell>
        </row>
        <row r="157">
          <cell r="F157" t="str">
            <v>W1RD2-050R</v>
          </cell>
          <cell r="G157" t="str">
            <v>左后门补焊</v>
          </cell>
        </row>
        <row r="158">
          <cell r="F158" t="str">
            <v>W1RD2-060R</v>
          </cell>
          <cell r="G158" t="str">
            <v>右后门钣金总成检查</v>
          </cell>
        </row>
        <row r="159">
          <cell r="F159" t="str">
            <v>W1FL-020</v>
          </cell>
          <cell r="G159" t="str">
            <v>CO2焊#1</v>
          </cell>
        </row>
        <row r="160">
          <cell r="F160" t="str">
            <v>W1FL-030</v>
          </cell>
          <cell r="G160" t="str">
            <v>CO2焊#2</v>
          </cell>
        </row>
        <row r="161">
          <cell r="F161" t="str">
            <v>W1FL-060</v>
          </cell>
          <cell r="G161" t="str">
            <v>打磨</v>
          </cell>
        </row>
        <row r="162">
          <cell r="F162" t="str">
            <v>W1FL-070</v>
          </cell>
          <cell r="G162" t="str">
            <v>小件安装#1</v>
          </cell>
        </row>
        <row r="163">
          <cell r="F163" t="str">
            <v>W1FL-080</v>
          </cell>
          <cell r="G163" t="str">
            <v>小件安装#2</v>
          </cell>
        </row>
        <row r="164">
          <cell r="F164" t="str">
            <v>W1FL-090</v>
          </cell>
          <cell r="G164" t="str">
            <v>后背门安装</v>
          </cell>
        </row>
        <row r="165">
          <cell r="F165" t="str">
            <v>W1FL-100</v>
          </cell>
          <cell r="G165" t="str">
            <v>后门钣金总成安装</v>
          </cell>
        </row>
        <row r="166">
          <cell r="F166" t="str">
            <v>W1FL-110</v>
          </cell>
          <cell r="G166" t="str">
            <v>前门钣金总成安装</v>
          </cell>
        </row>
        <row r="167">
          <cell r="F167" t="str">
            <v>W1FL-120</v>
          </cell>
          <cell r="G167" t="str">
            <v>翼子板安装</v>
          </cell>
        </row>
        <row r="168">
          <cell r="F168" t="str">
            <v>W1FL-130</v>
          </cell>
          <cell r="G168" t="str">
            <v>机盖安装</v>
          </cell>
        </row>
        <row r="169">
          <cell r="F169" t="str">
            <v>W1FL-140</v>
          </cell>
          <cell r="G169" t="str">
            <v>精调</v>
          </cell>
        </row>
        <row r="170">
          <cell r="F170" t="str">
            <v>W1FL-150</v>
          </cell>
          <cell r="G170" t="str">
            <v>出车检查</v>
          </cell>
        </row>
        <row r="171">
          <cell r="F171" t="str">
            <v>W1FL-210</v>
          </cell>
          <cell r="G171" t="str">
            <v>顶盖外观检查</v>
          </cell>
        </row>
        <row r="172">
          <cell r="F172" t="str">
            <v>W1FL-220</v>
          </cell>
          <cell r="G172" t="str">
            <v>检查#1</v>
          </cell>
        </row>
        <row r="173">
          <cell r="F173" t="str">
            <v>W1FL-230</v>
          </cell>
          <cell r="G173" t="str">
            <v>检查#2</v>
          </cell>
        </row>
        <row r="174">
          <cell r="F174" t="str">
            <v>W1FL-240</v>
          </cell>
          <cell r="G174" t="str">
            <v>返修#1</v>
          </cell>
        </row>
        <row r="175">
          <cell r="F175" t="str">
            <v>W1FL-250</v>
          </cell>
          <cell r="G175" t="str">
            <v>返修#2</v>
          </cell>
        </row>
        <row r="176">
          <cell r="F176" t="str">
            <v>W1FL-270</v>
          </cell>
          <cell r="G176" t="str">
            <v>清理</v>
          </cell>
        </row>
        <row r="177">
          <cell r="F177" t="str">
            <v>W1FL-280</v>
          </cell>
          <cell r="G177" t="str">
            <v>终检</v>
          </cell>
        </row>
        <row r="178">
          <cell r="F178" t="str">
            <v>W1FL-310</v>
          </cell>
          <cell r="G178" t="str">
            <v>大物返修</v>
          </cell>
        </row>
        <row r="179">
          <cell r="F179" t="str">
            <v>W1WL-010</v>
          </cell>
          <cell r="G179" t="str">
            <v>电泳</v>
          </cell>
        </row>
        <row r="180">
          <cell r="F180" t="str">
            <v>W1WL-020</v>
          </cell>
          <cell r="G180" t="str">
            <v>中涂</v>
          </cell>
        </row>
        <row r="181">
          <cell r="F181" t="str">
            <v>W1WL-030</v>
          </cell>
          <cell r="G181" t="str">
            <v>四门调整</v>
          </cell>
        </row>
        <row r="182">
          <cell r="F182" t="str">
            <v>W1WL-040</v>
          </cell>
          <cell r="G182" t="str">
            <v>线上返修</v>
          </cell>
        </row>
        <row r="183">
          <cell r="F183" t="str">
            <v>W1WL-050</v>
          </cell>
          <cell r="G183" t="str">
            <v>线下返修</v>
          </cell>
        </row>
        <row r="184">
          <cell r="F184" t="str">
            <v>W1WL-060</v>
          </cell>
          <cell r="G184" t="str">
            <v>PDI返修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S262"/>
  <sheetViews>
    <sheetView tabSelected="1" topLeftCell="K1" zoomScale="85" zoomScaleNormal="85" zoomScalePageLayoutView="55" workbookViewId="0">
      <selection activeCell="P5" sqref="P5"/>
    </sheetView>
  </sheetViews>
  <sheetFormatPr defaultColWidth="12.3984375" defaultRowHeight="15.6"/>
  <cols>
    <col min="1" max="1" width="11.296875" style="143" bestFit="1" customWidth="1"/>
    <col min="2" max="2" width="16.296875" bestFit="1" customWidth="1"/>
    <col min="3" max="3" width="13.69921875" bestFit="1" customWidth="1"/>
    <col min="4" max="4" width="11.296875" bestFit="1" customWidth="1"/>
    <col min="5" max="5" width="30.296875" style="163" bestFit="1" customWidth="1"/>
    <col min="6" max="6" width="37.5" style="163" bestFit="1" customWidth="1"/>
    <col min="7" max="7" width="13.69921875" style="138" bestFit="1" customWidth="1"/>
    <col min="8" max="8" width="13.69921875" bestFit="1" customWidth="1"/>
    <col min="9" max="9" width="16.296875" bestFit="1" customWidth="1"/>
    <col min="10" max="11" width="21.69921875" bestFit="1" customWidth="1"/>
    <col min="12" max="12" width="13.69921875" bestFit="1" customWidth="1"/>
    <col min="13" max="13" width="20.796875" bestFit="1" customWidth="1"/>
    <col min="14" max="14" width="11.69921875" bestFit="1" customWidth="1"/>
    <col min="15" max="15" width="15.3984375" bestFit="1" customWidth="1"/>
    <col min="16" max="16" width="33.8984375" bestFit="1" customWidth="1"/>
    <col min="17" max="17" width="11.296875" bestFit="1" customWidth="1"/>
    <col min="18" max="18" width="13.69921875" style="138" bestFit="1" customWidth="1"/>
    <col min="19" max="19" width="12.3984375" style="164"/>
  </cols>
  <sheetData>
    <row r="1" spans="1:18" ht="17.399999999999999">
      <c r="A1" s="38" t="s">
        <v>1427</v>
      </c>
      <c r="B1" s="38" t="s">
        <v>1426</v>
      </c>
      <c r="C1" s="38" t="s">
        <v>1425</v>
      </c>
      <c r="D1" s="38" t="s">
        <v>1424</v>
      </c>
      <c r="E1" s="39" t="s">
        <v>1423</v>
      </c>
      <c r="F1" s="39" t="s">
        <v>1468</v>
      </c>
      <c r="G1" s="39" t="s">
        <v>0</v>
      </c>
      <c r="H1" s="39" t="s">
        <v>1418</v>
      </c>
      <c r="I1" s="39" t="s">
        <v>1419</v>
      </c>
      <c r="J1" s="38" t="s">
        <v>1420</v>
      </c>
      <c r="K1" s="38" t="s">
        <v>1421</v>
      </c>
      <c r="L1" s="39" t="s">
        <v>1422</v>
      </c>
      <c r="M1" s="39" t="s">
        <v>1469</v>
      </c>
      <c r="N1" s="39" t="s">
        <v>1417</v>
      </c>
      <c r="O1" s="39" t="s">
        <v>1467</v>
      </c>
      <c r="P1" s="39" t="s">
        <v>1416</v>
      </c>
      <c r="Q1" s="39" t="s">
        <v>1415</v>
      </c>
      <c r="R1" s="39" t="s">
        <v>1414</v>
      </c>
    </row>
    <row r="2" spans="1:18" ht="36">
      <c r="A2" s="139" t="s">
        <v>1158</v>
      </c>
      <c r="B2" s="98" t="s">
        <v>1384</v>
      </c>
      <c r="C2" s="99" t="s">
        <v>470</v>
      </c>
      <c r="D2" s="100"/>
      <c r="E2" s="100" t="s">
        <v>471</v>
      </c>
      <c r="F2" s="98" t="s">
        <v>472</v>
      </c>
      <c r="G2" s="99" t="s">
        <v>473</v>
      </c>
      <c r="H2" s="101" t="s">
        <v>416</v>
      </c>
      <c r="I2" s="101" t="s">
        <v>423</v>
      </c>
      <c r="J2" s="102" t="s">
        <v>1378</v>
      </c>
      <c r="K2" s="102"/>
      <c r="L2" s="101"/>
      <c r="M2" s="147" t="s">
        <v>1466</v>
      </c>
      <c r="N2" s="103" t="s">
        <v>362</v>
      </c>
      <c r="O2" s="82" t="s">
        <v>417</v>
      </c>
      <c r="P2" s="82" t="str">
        <f>IF(O2="","",VLOOKUP(O2,辅助表!$F$2:$G$200,2,FALSE))</f>
        <v>前机舱总成人工上件</v>
      </c>
      <c r="Q2" s="82" t="s">
        <v>399</v>
      </c>
      <c r="R2" s="155" t="s">
        <v>1109</v>
      </c>
    </row>
    <row r="3" spans="1:18" ht="24">
      <c r="A3" s="139" t="s">
        <v>1159</v>
      </c>
      <c r="B3" s="98" t="s">
        <v>474</v>
      </c>
      <c r="C3" s="99" t="s">
        <v>475</v>
      </c>
      <c r="D3" s="100"/>
      <c r="E3" s="100" t="s">
        <v>476</v>
      </c>
      <c r="F3" s="99" t="s">
        <v>477</v>
      </c>
      <c r="G3" s="99" t="s">
        <v>473</v>
      </c>
      <c r="H3" s="101" t="s">
        <v>416</v>
      </c>
      <c r="I3" s="101" t="s">
        <v>423</v>
      </c>
      <c r="J3" s="102" t="s">
        <v>1379</v>
      </c>
      <c r="K3" s="102"/>
      <c r="L3" s="101"/>
      <c r="M3" s="147" t="s">
        <v>1466</v>
      </c>
      <c r="N3" s="103" t="s">
        <v>362</v>
      </c>
      <c r="O3" s="82" t="s">
        <v>418</v>
      </c>
      <c r="P3" s="82" t="str">
        <f>IF(O3="","",VLOOKUP(O3,辅助表!$F$2:$G$200,2,FALSE))</f>
        <v>前地板总成上件</v>
      </c>
      <c r="Q3" s="82" t="s">
        <v>399</v>
      </c>
      <c r="R3" s="155" t="s">
        <v>1109</v>
      </c>
    </row>
    <row r="4" spans="1:18" ht="24">
      <c r="A4" s="139" t="s">
        <v>1453</v>
      </c>
      <c r="B4" s="98" t="s">
        <v>474</v>
      </c>
      <c r="C4" s="99" t="s">
        <v>475</v>
      </c>
      <c r="D4" s="100"/>
      <c r="E4" s="100" t="s">
        <v>478</v>
      </c>
      <c r="F4" s="99" t="s">
        <v>419</v>
      </c>
      <c r="G4" s="99" t="s">
        <v>473</v>
      </c>
      <c r="H4" s="101" t="s">
        <v>416</v>
      </c>
      <c r="I4" s="101" t="s">
        <v>423</v>
      </c>
      <c r="J4" s="102" t="s">
        <v>1391</v>
      </c>
      <c r="K4" s="102"/>
      <c r="L4" s="101"/>
      <c r="M4" s="147" t="s">
        <v>1466</v>
      </c>
      <c r="N4" s="103" t="s">
        <v>363</v>
      </c>
      <c r="O4" s="82" t="s">
        <v>1085</v>
      </c>
      <c r="P4" s="82" t="str">
        <f>IF(O4="","",VLOOKUP(O4,辅助表!$F$2:$G$200,2,FALSE))</f>
        <v>机舱前地板、后地板上件</v>
      </c>
      <c r="Q4" s="82" t="s">
        <v>399</v>
      </c>
      <c r="R4" s="155" t="s">
        <v>1109</v>
      </c>
    </row>
    <row r="5" spans="1:18" ht="24">
      <c r="A5" s="139" t="s">
        <v>1454</v>
      </c>
      <c r="B5" s="98" t="s">
        <v>474</v>
      </c>
      <c r="C5" s="99" t="s">
        <v>475</v>
      </c>
      <c r="D5" s="100"/>
      <c r="E5" s="100" t="s">
        <v>479</v>
      </c>
      <c r="F5" s="99" t="s">
        <v>480</v>
      </c>
      <c r="G5" s="99" t="s">
        <v>473</v>
      </c>
      <c r="H5" s="101" t="s">
        <v>416</v>
      </c>
      <c r="I5" s="101" t="s">
        <v>423</v>
      </c>
      <c r="J5" s="102" t="s">
        <v>1380</v>
      </c>
      <c r="K5" s="102"/>
      <c r="L5" s="101"/>
      <c r="M5" s="147" t="s">
        <v>1466</v>
      </c>
      <c r="N5" s="103" t="s">
        <v>363</v>
      </c>
      <c r="O5" s="82" t="s">
        <v>1085</v>
      </c>
      <c r="P5" s="82" t="str">
        <f>IF(O5="","",VLOOKUP(O5,辅助表!$F$2:$G$200,2,FALSE))</f>
        <v>机舱前地板、后地板上件</v>
      </c>
      <c r="Q5" s="82" t="s">
        <v>399</v>
      </c>
      <c r="R5" s="155" t="s">
        <v>1109</v>
      </c>
    </row>
    <row r="6" spans="1:18" ht="36">
      <c r="A6" s="139" t="s">
        <v>1160</v>
      </c>
      <c r="B6" s="4" t="s">
        <v>1385</v>
      </c>
      <c r="C6" s="4" t="s">
        <v>481</v>
      </c>
      <c r="D6" s="4"/>
      <c r="E6" s="4" t="s">
        <v>482</v>
      </c>
      <c r="F6" s="4" t="s">
        <v>483</v>
      </c>
      <c r="G6" s="4" t="s">
        <v>484</v>
      </c>
      <c r="H6" s="104" t="s">
        <v>416</v>
      </c>
      <c r="I6" s="101" t="s">
        <v>423</v>
      </c>
      <c r="J6" s="102" t="s">
        <v>1381</v>
      </c>
      <c r="K6" s="102"/>
      <c r="L6" s="101"/>
      <c r="M6" s="147" t="s">
        <v>1466</v>
      </c>
      <c r="N6" s="103" t="s">
        <v>362</v>
      </c>
      <c r="O6" s="82"/>
      <c r="P6" s="82" t="str">
        <f>IF(O6="","",VLOOKUP(O6,辅助表!$F$2:$G$200,2,FALSE))</f>
        <v/>
      </c>
      <c r="Q6" s="82" t="s">
        <v>399</v>
      </c>
      <c r="R6" s="155" t="s">
        <v>1109</v>
      </c>
    </row>
    <row r="7" spans="1:18" ht="36">
      <c r="A7" s="139" t="s">
        <v>1161</v>
      </c>
      <c r="B7" s="104" t="s">
        <v>485</v>
      </c>
      <c r="C7" s="104" t="s">
        <v>484</v>
      </c>
      <c r="D7" s="104"/>
      <c r="E7" s="104" t="s">
        <v>486</v>
      </c>
      <c r="F7" s="104" t="s">
        <v>487</v>
      </c>
      <c r="G7" s="104" t="s">
        <v>1157</v>
      </c>
      <c r="H7" s="104" t="s">
        <v>416</v>
      </c>
      <c r="I7" s="101" t="s">
        <v>423</v>
      </c>
      <c r="J7" s="105" t="s">
        <v>1382</v>
      </c>
      <c r="K7" s="102"/>
      <c r="L7" s="101"/>
      <c r="M7" s="147" t="s">
        <v>1466</v>
      </c>
      <c r="N7" s="103" t="s">
        <v>362</v>
      </c>
      <c r="O7" s="82" t="s">
        <v>417</v>
      </c>
      <c r="P7" s="82" t="str">
        <f>IF(O7="","",VLOOKUP(O7,辅助表!$F$2:$G$200,2,FALSE))</f>
        <v>前机舱总成人工上件</v>
      </c>
      <c r="Q7" s="82" t="s">
        <v>399</v>
      </c>
      <c r="R7" s="155" t="s">
        <v>1109</v>
      </c>
    </row>
    <row r="8" spans="1:18" ht="36">
      <c r="A8" s="139" t="s">
        <v>1162</v>
      </c>
      <c r="B8" s="106" t="s">
        <v>488</v>
      </c>
      <c r="C8" s="106" t="s">
        <v>489</v>
      </c>
      <c r="D8" s="106"/>
      <c r="E8" s="107" t="s">
        <v>490</v>
      </c>
      <c r="F8" s="106" t="s">
        <v>491</v>
      </c>
      <c r="G8" s="106" t="s">
        <v>492</v>
      </c>
      <c r="H8" s="4" t="s">
        <v>416</v>
      </c>
      <c r="I8" s="101" t="s">
        <v>423</v>
      </c>
      <c r="J8" s="118" t="s">
        <v>1392</v>
      </c>
      <c r="K8" s="102"/>
      <c r="L8" s="101"/>
      <c r="M8" s="147" t="s">
        <v>1466</v>
      </c>
      <c r="N8" s="103"/>
      <c r="O8" s="82"/>
      <c r="P8" s="82" t="str">
        <f>IF(O8="","",VLOOKUP(O8,辅助表!$F$2:$G$200,2,FALSE))</f>
        <v/>
      </c>
      <c r="Q8" s="82" t="s">
        <v>425</v>
      </c>
      <c r="R8" s="155" t="s">
        <v>1109</v>
      </c>
    </row>
    <row r="9" spans="1:18" ht="24">
      <c r="A9" s="139" t="s">
        <v>1163</v>
      </c>
      <c r="B9" s="108" t="s">
        <v>1386</v>
      </c>
      <c r="C9" s="108" t="s">
        <v>493</v>
      </c>
      <c r="D9" s="106"/>
      <c r="E9" s="109" t="s">
        <v>494</v>
      </c>
      <c r="F9" s="110" t="s">
        <v>495</v>
      </c>
      <c r="G9" s="106" t="s">
        <v>420</v>
      </c>
      <c r="H9" s="111" t="s">
        <v>422</v>
      </c>
      <c r="I9" s="111" t="s">
        <v>423</v>
      </c>
      <c r="J9" s="112" t="s">
        <v>1383</v>
      </c>
      <c r="K9" s="102"/>
      <c r="L9" s="101"/>
      <c r="M9" s="147" t="s">
        <v>1466</v>
      </c>
      <c r="N9" s="103" t="s">
        <v>361</v>
      </c>
      <c r="O9" s="82" t="s">
        <v>45</v>
      </c>
      <c r="P9" s="82" t="str">
        <f>IF(O9="","",VLOOKUP(O9,辅助表!$F$2:$G$200,2,FALSE))</f>
        <v>前纵梁左3#</v>
      </c>
      <c r="Q9" s="82" t="s">
        <v>399</v>
      </c>
      <c r="R9" s="155" t="s">
        <v>1109</v>
      </c>
    </row>
    <row r="10" spans="1:18" ht="24">
      <c r="A10" s="139" t="s">
        <v>1164</v>
      </c>
      <c r="B10" s="108" t="s">
        <v>1387</v>
      </c>
      <c r="C10" s="108" t="s">
        <v>496</v>
      </c>
      <c r="D10" s="106"/>
      <c r="E10" s="109" t="s">
        <v>497</v>
      </c>
      <c r="F10" s="110" t="s">
        <v>495</v>
      </c>
      <c r="G10" s="106" t="s">
        <v>420</v>
      </c>
      <c r="H10" s="111" t="s">
        <v>422</v>
      </c>
      <c r="I10" s="111" t="s">
        <v>423</v>
      </c>
      <c r="J10" s="112" t="s">
        <v>1383</v>
      </c>
      <c r="K10" s="112"/>
      <c r="L10" s="101"/>
      <c r="M10" s="147" t="s">
        <v>1466</v>
      </c>
      <c r="N10" s="103" t="s">
        <v>358</v>
      </c>
      <c r="O10" s="82" t="s">
        <v>8</v>
      </c>
      <c r="P10" s="82" t="str">
        <f>IF(O10="","",VLOOKUP(O10,辅助表!$F$2:$G$200,2,FALSE))</f>
        <v>前地板4#</v>
      </c>
      <c r="Q10" s="82" t="s">
        <v>425</v>
      </c>
      <c r="R10" s="155" t="s">
        <v>1109</v>
      </c>
    </row>
    <row r="11" spans="1:18" ht="24">
      <c r="A11" s="139" t="s">
        <v>1165</v>
      </c>
      <c r="B11" s="113" t="s">
        <v>1388</v>
      </c>
      <c r="C11" s="113" t="s">
        <v>421</v>
      </c>
      <c r="D11" s="4"/>
      <c r="E11" s="109" t="s">
        <v>498</v>
      </c>
      <c r="F11" s="114" t="s">
        <v>499</v>
      </c>
      <c r="G11" s="4" t="s">
        <v>420</v>
      </c>
      <c r="H11" s="101" t="s">
        <v>422</v>
      </c>
      <c r="I11" s="115" t="s">
        <v>423</v>
      </c>
      <c r="J11" s="102" t="s">
        <v>505</v>
      </c>
      <c r="K11" s="102" t="s">
        <v>509</v>
      </c>
      <c r="L11" s="101" t="s">
        <v>1430</v>
      </c>
      <c r="M11" s="147" t="s">
        <v>1466</v>
      </c>
      <c r="N11" s="103" t="s">
        <v>359</v>
      </c>
      <c r="O11" s="82" t="s">
        <v>424</v>
      </c>
      <c r="P11" s="82" t="str">
        <f>IF(O11="","",VLOOKUP(O11,辅助表!$F$2:$G$200,2,FALSE))</f>
        <v>前围板1#</v>
      </c>
      <c r="Q11" s="82" t="s">
        <v>425</v>
      </c>
      <c r="R11" s="155" t="s">
        <v>1109</v>
      </c>
    </row>
    <row r="12" spans="1:18" ht="36">
      <c r="A12" s="139" t="s">
        <v>1166</v>
      </c>
      <c r="B12" s="113" t="s">
        <v>1389</v>
      </c>
      <c r="C12" s="113" t="s">
        <v>421</v>
      </c>
      <c r="D12" s="4"/>
      <c r="E12" s="116" t="s">
        <v>500</v>
      </c>
      <c r="F12" s="114" t="s">
        <v>426</v>
      </c>
      <c r="G12" s="4" t="s">
        <v>427</v>
      </c>
      <c r="H12" s="115" t="s">
        <v>422</v>
      </c>
      <c r="I12" s="115" t="s">
        <v>423</v>
      </c>
      <c r="J12" s="102" t="s">
        <v>501</v>
      </c>
      <c r="K12" s="102" t="s">
        <v>509</v>
      </c>
      <c r="L12" s="101" t="s">
        <v>1430</v>
      </c>
      <c r="M12" s="147" t="s">
        <v>1466</v>
      </c>
      <c r="N12" s="103" t="s">
        <v>359</v>
      </c>
      <c r="O12" s="82" t="s">
        <v>14</v>
      </c>
      <c r="P12" s="82" t="str">
        <f>IF(O12="","",VLOOKUP(O12,辅助表!$F$2:$G$200,2,FALSE))</f>
        <v>前围板5#</v>
      </c>
      <c r="Q12" s="82" t="s">
        <v>399</v>
      </c>
      <c r="R12" s="155" t="s">
        <v>1109</v>
      </c>
    </row>
    <row r="13" spans="1:18" ht="36">
      <c r="A13" s="139" t="s">
        <v>1167</v>
      </c>
      <c r="B13" s="98" t="s">
        <v>1389</v>
      </c>
      <c r="C13" s="99" t="s">
        <v>421</v>
      </c>
      <c r="D13" s="4"/>
      <c r="E13" s="116" t="s">
        <v>502</v>
      </c>
      <c r="F13" s="114" t="s">
        <v>426</v>
      </c>
      <c r="G13" s="4" t="s">
        <v>427</v>
      </c>
      <c r="H13" s="115" t="s">
        <v>422</v>
      </c>
      <c r="I13" s="115" t="s">
        <v>423</v>
      </c>
      <c r="J13" s="102" t="s">
        <v>503</v>
      </c>
      <c r="K13" s="102" t="s">
        <v>509</v>
      </c>
      <c r="L13" s="101" t="s">
        <v>1430</v>
      </c>
      <c r="M13" s="147" t="s">
        <v>1466</v>
      </c>
      <c r="N13" s="103" t="s">
        <v>358</v>
      </c>
      <c r="O13" s="82" t="s">
        <v>9</v>
      </c>
      <c r="P13" s="82" t="str">
        <f>IF(O13="","",VLOOKUP(O13,辅助表!$F$2:$G$200,2,FALSE))</f>
        <v>前地板5#</v>
      </c>
      <c r="Q13" s="82" t="s">
        <v>399</v>
      </c>
      <c r="R13" s="155" t="s">
        <v>1109</v>
      </c>
    </row>
    <row r="14" spans="1:18" ht="24">
      <c r="A14" s="139" t="s">
        <v>1168</v>
      </c>
      <c r="B14" s="98" t="s">
        <v>1389</v>
      </c>
      <c r="C14" s="99" t="s">
        <v>421</v>
      </c>
      <c r="D14" s="117"/>
      <c r="E14" s="100" t="s">
        <v>504</v>
      </c>
      <c r="F14" s="114" t="s">
        <v>426</v>
      </c>
      <c r="G14" s="4" t="s">
        <v>427</v>
      </c>
      <c r="H14" s="115" t="s">
        <v>422</v>
      </c>
      <c r="I14" s="115" t="s">
        <v>423</v>
      </c>
      <c r="J14" s="102" t="s">
        <v>505</v>
      </c>
      <c r="K14" s="102" t="s">
        <v>509</v>
      </c>
      <c r="L14" s="101" t="s">
        <v>1430</v>
      </c>
      <c r="M14" s="147" t="s">
        <v>1466</v>
      </c>
      <c r="N14" s="103" t="s">
        <v>361</v>
      </c>
      <c r="O14" s="82" t="s">
        <v>43</v>
      </c>
      <c r="P14" s="82" t="str">
        <f>IF(O14="","",VLOOKUP(O14,辅助表!$F$2:$G$200,2,FALSE))</f>
        <v>前纵梁右1#</v>
      </c>
      <c r="Q14" s="82" t="s">
        <v>399</v>
      </c>
      <c r="R14" s="155" t="s">
        <v>1109</v>
      </c>
    </row>
    <row r="15" spans="1:18" ht="24">
      <c r="A15" s="139" t="s">
        <v>1169</v>
      </c>
      <c r="B15" s="113" t="s">
        <v>506</v>
      </c>
      <c r="C15" s="113" t="s">
        <v>496</v>
      </c>
      <c r="D15" s="106"/>
      <c r="E15" s="107" t="s">
        <v>507</v>
      </c>
      <c r="F15" s="106" t="s">
        <v>508</v>
      </c>
      <c r="G15" s="4" t="s">
        <v>420</v>
      </c>
      <c r="H15" s="101" t="s">
        <v>422</v>
      </c>
      <c r="I15" s="115" t="s">
        <v>423</v>
      </c>
      <c r="J15" s="118" t="s">
        <v>509</v>
      </c>
      <c r="K15" s="102"/>
      <c r="L15" s="101"/>
      <c r="M15" s="147" t="s">
        <v>1466</v>
      </c>
      <c r="N15" s="103" t="s">
        <v>360</v>
      </c>
      <c r="O15" s="82" t="s">
        <v>428</v>
      </c>
      <c r="P15" s="82" t="str">
        <f>IF(O15="","",VLOOKUP(O15,辅助表!$F$2:$G$200,2,FALSE))</f>
        <v>后纵梁总成1#-右</v>
      </c>
      <c r="Q15" s="82" t="s">
        <v>399</v>
      </c>
      <c r="R15" s="151" t="s">
        <v>1108</v>
      </c>
    </row>
    <row r="16" spans="1:18" ht="24">
      <c r="A16" s="139" t="s">
        <v>1170</v>
      </c>
      <c r="B16" s="113" t="s">
        <v>506</v>
      </c>
      <c r="C16" s="113" t="s">
        <v>496</v>
      </c>
      <c r="D16" s="106"/>
      <c r="E16" s="107" t="s">
        <v>510</v>
      </c>
      <c r="F16" s="106" t="s">
        <v>511</v>
      </c>
      <c r="G16" s="4" t="s">
        <v>420</v>
      </c>
      <c r="H16" s="101" t="s">
        <v>422</v>
      </c>
      <c r="I16" s="115" t="s">
        <v>423</v>
      </c>
      <c r="J16" s="118" t="s">
        <v>512</v>
      </c>
      <c r="K16" s="102"/>
      <c r="L16" s="101"/>
      <c r="M16" s="147" t="s">
        <v>1466</v>
      </c>
      <c r="N16" s="103" t="s">
        <v>358</v>
      </c>
      <c r="O16" s="82" t="s">
        <v>7</v>
      </c>
      <c r="P16" s="82" t="str">
        <f>IF(O16="","",VLOOKUP(O16,辅助表!$F$2:$G$200,2,FALSE))</f>
        <v>前地板3#</v>
      </c>
      <c r="Q16" s="82" t="s">
        <v>399</v>
      </c>
      <c r="R16" s="151" t="s">
        <v>1108</v>
      </c>
    </row>
    <row r="17" spans="1:18" ht="24">
      <c r="A17" s="139" t="s">
        <v>1171</v>
      </c>
      <c r="B17" s="113" t="s">
        <v>1451</v>
      </c>
      <c r="C17" s="113" t="s">
        <v>1443</v>
      </c>
      <c r="D17" s="106"/>
      <c r="E17" s="107" t="s">
        <v>1446</v>
      </c>
      <c r="F17" s="106" t="s">
        <v>1444</v>
      </c>
      <c r="G17" s="4" t="s">
        <v>420</v>
      </c>
      <c r="H17" s="101" t="s">
        <v>422</v>
      </c>
      <c r="I17" s="115" t="s">
        <v>423</v>
      </c>
      <c r="J17" s="118" t="s">
        <v>1450</v>
      </c>
      <c r="K17" s="102"/>
      <c r="L17" s="101"/>
      <c r="M17" s="147" t="s">
        <v>1466</v>
      </c>
      <c r="N17" s="103" t="s">
        <v>360</v>
      </c>
      <c r="O17" s="82" t="s">
        <v>1103</v>
      </c>
      <c r="P17" s="82" t="str">
        <f>IF(O17="","",VLOOKUP(O17,辅助表!$F$2:$G$200,2,FALSE))</f>
        <v>后纵梁总成1#-左</v>
      </c>
      <c r="Q17" s="82" t="s">
        <v>399</v>
      </c>
      <c r="R17" s="154" t="s">
        <v>1452</v>
      </c>
    </row>
    <row r="18" spans="1:18" ht="24">
      <c r="A18" s="139" t="s">
        <v>1172</v>
      </c>
      <c r="B18" s="113" t="s">
        <v>1451</v>
      </c>
      <c r="C18" s="113" t="s">
        <v>1443</v>
      </c>
      <c r="D18" s="106"/>
      <c r="E18" s="107" t="s">
        <v>1448</v>
      </c>
      <c r="F18" s="106" t="s">
        <v>1445</v>
      </c>
      <c r="G18" s="4" t="s">
        <v>420</v>
      </c>
      <c r="H18" s="101" t="s">
        <v>422</v>
      </c>
      <c r="I18" s="115" t="s">
        <v>423</v>
      </c>
      <c r="J18" s="118" t="s">
        <v>1450</v>
      </c>
      <c r="K18" s="102"/>
      <c r="L18" s="101"/>
      <c r="M18" s="147" t="s">
        <v>1466</v>
      </c>
      <c r="N18" s="103" t="s">
        <v>360</v>
      </c>
      <c r="O18" s="82" t="s">
        <v>431</v>
      </c>
      <c r="P18" s="82" t="str">
        <f>IF(O18="","",VLOOKUP(O18,辅助表!$F$2:$G$200,2,FALSE))</f>
        <v>后纵梁总成2#-左</v>
      </c>
      <c r="Q18" s="82" t="s">
        <v>399</v>
      </c>
      <c r="R18" s="154" t="s">
        <v>1452</v>
      </c>
    </row>
    <row r="19" spans="1:18" ht="24">
      <c r="A19" s="139" t="s">
        <v>1173</v>
      </c>
      <c r="B19" s="113" t="s">
        <v>1451</v>
      </c>
      <c r="C19" s="113" t="s">
        <v>1443</v>
      </c>
      <c r="D19" s="106"/>
      <c r="E19" s="107" t="s">
        <v>1449</v>
      </c>
      <c r="F19" s="106" t="s">
        <v>1444</v>
      </c>
      <c r="G19" s="4" t="s">
        <v>420</v>
      </c>
      <c r="H19" s="101" t="s">
        <v>422</v>
      </c>
      <c r="I19" s="115" t="s">
        <v>423</v>
      </c>
      <c r="J19" s="118" t="s">
        <v>1450</v>
      </c>
      <c r="K19" s="102"/>
      <c r="L19" s="101"/>
      <c r="M19" s="147" t="s">
        <v>1466</v>
      </c>
      <c r="N19" s="103" t="s">
        <v>360</v>
      </c>
      <c r="O19" s="82" t="s">
        <v>428</v>
      </c>
      <c r="P19" s="82" t="str">
        <f>IF(O19="","",VLOOKUP(O19,辅助表!$F$2:$G$200,2,FALSE))</f>
        <v>后纵梁总成1#-右</v>
      </c>
      <c r="Q19" s="82" t="s">
        <v>399</v>
      </c>
      <c r="R19" s="154" t="s">
        <v>1452</v>
      </c>
    </row>
    <row r="20" spans="1:18" ht="24">
      <c r="A20" s="139" t="s">
        <v>1174</v>
      </c>
      <c r="B20" s="113" t="s">
        <v>1451</v>
      </c>
      <c r="C20" s="113" t="s">
        <v>1443</v>
      </c>
      <c r="D20" s="106"/>
      <c r="E20" s="107" t="s">
        <v>1447</v>
      </c>
      <c r="F20" s="106" t="s">
        <v>1445</v>
      </c>
      <c r="G20" s="4" t="s">
        <v>420</v>
      </c>
      <c r="H20" s="101" t="s">
        <v>422</v>
      </c>
      <c r="I20" s="115" t="s">
        <v>423</v>
      </c>
      <c r="J20" s="118" t="s">
        <v>1450</v>
      </c>
      <c r="K20" s="102"/>
      <c r="L20" s="101"/>
      <c r="M20" s="147" t="s">
        <v>1466</v>
      </c>
      <c r="N20" s="103" t="s">
        <v>360</v>
      </c>
      <c r="O20" s="82" t="s">
        <v>430</v>
      </c>
      <c r="P20" s="82" t="str">
        <f>IF(O20="","",VLOOKUP(O20,辅助表!$F$2:$G$200,2,FALSE))</f>
        <v>后纵梁总成2#-右</v>
      </c>
      <c r="Q20" s="82" t="s">
        <v>399</v>
      </c>
      <c r="R20" s="154" t="s">
        <v>1452</v>
      </c>
    </row>
    <row r="21" spans="1:18" ht="84">
      <c r="A21" s="139" t="s">
        <v>1175</v>
      </c>
      <c r="B21" s="119" t="s">
        <v>513</v>
      </c>
      <c r="C21" s="120" t="s">
        <v>514</v>
      </c>
      <c r="D21" s="121"/>
      <c r="E21" s="121" t="s">
        <v>515</v>
      </c>
      <c r="F21" s="120" t="s">
        <v>516</v>
      </c>
      <c r="G21" s="122" t="s">
        <v>496</v>
      </c>
      <c r="H21" s="123" t="s">
        <v>517</v>
      </c>
      <c r="I21" s="119" t="s">
        <v>423</v>
      </c>
      <c r="J21" s="122" t="s">
        <v>518</v>
      </c>
      <c r="K21" s="102"/>
      <c r="L21" s="101"/>
      <c r="M21" s="148" t="s">
        <v>1466</v>
      </c>
      <c r="N21" s="103" t="s">
        <v>360</v>
      </c>
      <c r="O21" s="82" t="s">
        <v>23</v>
      </c>
      <c r="P21" s="82" t="str">
        <f>IF(O21="","",VLOOKUP(O21,辅助表!$F$2:$G$200,2,FALSE))</f>
        <v>后地板9#</v>
      </c>
      <c r="Q21" s="82" t="s">
        <v>399</v>
      </c>
      <c r="R21" s="155" t="s">
        <v>1109</v>
      </c>
    </row>
    <row r="22" spans="1:18" ht="60">
      <c r="A22" s="139" t="s">
        <v>1176</v>
      </c>
      <c r="B22" s="119" t="s">
        <v>1390</v>
      </c>
      <c r="C22" s="120" t="s">
        <v>514</v>
      </c>
      <c r="D22" s="121"/>
      <c r="E22" s="121" t="s">
        <v>519</v>
      </c>
      <c r="F22" s="120" t="s">
        <v>1114</v>
      </c>
      <c r="G22" s="122" t="s">
        <v>496</v>
      </c>
      <c r="H22" s="123" t="s">
        <v>517</v>
      </c>
      <c r="I22" s="119" t="s">
        <v>423</v>
      </c>
      <c r="J22" s="122" t="s">
        <v>520</v>
      </c>
      <c r="K22" s="102" t="s">
        <v>509</v>
      </c>
      <c r="L22" s="101" t="s">
        <v>1430</v>
      </c>
      <c r="M22" s="147" t="s">
        <v>1466</v>
      </c>
      <c r="N22" s="103" t="s">
        <v>360</v>
      </c>
      <c r="O22" s="82" t="s">
        <v>26</v>
      </c>
      <c r="P22" s="82" t="str">
        <f>IF(O22="","",VLOOKUP(O22,辅助表!$F$2:$G$200,2,FALSE))</f>
        <v>后地板6#</v>
      </c>
      <c r="Q22" s="82" t="s">
        <v>425</v>
      </c>
      <c r="R22" s="155" t="s">
        <v>1109</v>
      </c>
    </row>
    <row r="23" spans="1:18" ht="24">
      <c r="A23" s="139" t="s">
        <v>1177</v>
      </c>
      <c r="B23" s="119" t="s">
        <v>521</v>
      </c>
      <c r="C23" s="120" t="s">
        <v>421</v>
      </c>
      <c r="D23" s="121"/>
      <c r="E23" s="121" t="s">
        <v>522</v>
      </c>
      <c r="F23" s="120" t="s">
        <v>523</v>
      </c>
      <c r="G23" s="122" t="s">
        <v>496</v>
      </c>
      <c r="H23" s="123" t="s">
        <v>517</v>
      </c>
      <c r="I23" s="119" t="s">
        <v>423</v>
      </c>
      <c r="J23" s="120" t="s">
        <v>512</v>
      </c>
      <c r="K23" s="102"/>
      <c r="L23" s="101"/>
      <c r="M23" s="149" t="s">
        <v>1466</v>
      </c>
      <c r="N23" s="103" t="s">
        <v>359</v>
      </c>
      <c r="O23" s="124" t="s">
        <v>424</v>
      </c>
      <c r="P23" s="82" t="str">
        <f>IF(O23="","",VLOOKUP(O23,辅助表!$F$2:$G$200,2,FALSE))</f>
        <v>前围板1#</v>
      </c>
      <c r="Q23" s="103" t="s">
        <v>429</v>
      </c>
      <c r="R23" s="155" t="s">
        <v>1109</v>
      </c>
    </row>
    <row r="24" spans="1:18">
      <c r="A24" s="139" t="s">
        <v>1178</v>
      </c>
      <c r="B24" s="4" t="s">
        <v>1393</v>
      </c>
      <c r="C24" s="4" t="s">
        <v>524</v>
      </c>
      <c r="D24" s="4"/>
      <c r="E24" s="4" t="s">
        <v>525</v>
      </c>
      <c r="F24" s="4" t="s">
        <v>526</v>
      </c>
      <c r="G24" s="4" t="s">
        <v>496</v>
      </c>
      <c r="H24" s="123" t="s">
        <v>517</v>
      </c>
      <c r="I24" s="119" t="s">
        <v>423</v>
      </c>
      <c r="J24" s="102" t="s">
        <v>455</v>
      </c>
      <c r="K24" s="102"/>
      <c r="L24" s="101"/>
      <c r="M24" s="149" t="s">
        <v>1466</v>
      </c>
      <c r="N24" s="103" t="s">
        <v>359</v>
      </c>
      <c r="O24" s="125" t="s">
        <v>424</v>
      </c>
      <c r="P24" s="82" t="str">
        <f>IF(O24="","",VLOOKUP(O24,辅助表!$F$2:$G$200,2,FALSE))</f>
        <v>前围板1#</v>
      </c>
      <c r="Q24" s="103" t="s">
        <v>399</v>
      </c>
      <c r="R24" s="155" t="s">
        <v>1109</v>
      </c>
    </row>
    <row r="25" spans="1:18" ht="24">
      <c r="A25" s="139" t="s">
        <v>1179</v>
      </c>
      <c r="B25" s="4" t="s">
        <v>1393</v>
      </c>
      <c r="C25" s="4" t="s">
        <v>524</v>
      </c>
      <c r="D25" s="104"/>
      <c r="E25" s="104" t="s">
        <v>527</v>
      </c>
      <c r="F25" s="104" t="s">
        <v>526</v>
      </c>
      <c r="G25" s="104" t="s">
        <v>496</v>
      </c>
      <c r="H25" s="123" t="s">
        <v>517</v>
      </c>
      <c r="I25" s="119" t="s">
        <v>423</v>
      </c>
      <c r="J25" s="105" t="s">
        <v>456</v>
      </c>
      <c r="K25" s="126" t="s">
        <v>457</v>
      </c>
      <c r="L25" s="126" t="s">
        <v>1431</v>
      </c>
      <c r="M25" s="149" t="s">
        <v>1466</v>
      </c>
      <c r="N25" s="127" t="s">
        <v>359</v>
      </c>
      <c r="O25" s="124" t="s">
        <v>17</v>
      </c>
      <c r="P25" s="82" t="str">
        <f>IF(O25="","",VLOOKUP(O25,辅助表!$F$2:$G$200,2,FALSE))</f>
        <v>前围板2#</v>
      </c>
      <c r="Q25" s="103" t="s">
        <v>399</v>
      </c>
      <c r="R25" s="155" t="s">
        <v>1109</v>
      </c>
    </row>
    <row r="26" spans="1:18" ht="60">
      <c r="A26" s="139" t="s">
        <v>1180</v>
      </c>
      <c r="B26" s="4" t="s">
        <v>1393</v>
      </c>
      <c r="C26" s="4" t="s">
        <v>524</v>
      </c>
      <c r="D26" s="104"/>
      <c r="E26" s="104" t="s">
        <v>528</v>
      </c>
      <c r="F26" s="104" t="s">
        <v>1116</v>
      </c>
      <c r="G26" s="104" t="s">
        <v>496</v>
      </c>
      <c r="H26" s="123" t="s">
        <v>517</v>
      </c>
      <c r="I26" s="119" t="s">
        <v>423</v>
      </c>
      <c r="J26" s="105" t="s">
        <v>455</v>
      </c>
      <c r="K26" s="126"/>
      <c r="L26" s="126"/>
      <c r="M26" s="149" t="s">
        <v>1466</v>
      </c>
      <c r="N26" s="127" t="s">
        <v>359</v>
      </c>
      <c r="O26" s="124" t="s">
        <v>17</v>
      </c>
      <c r="P26" s="82" t="str">
        <f>IF(O26="","",VLOOKUP(O26,辅助表!$F$2:$G$200,2,FALSE))</f>
        <v>前围板2#</v>
      </c>
      <c r="Q26" s="103" t="s">
        <v>399</v>
      </c>
      <c r="R26" s="155" t="s">
        <v>1109</v>
      </c>
    </row>
    <row r="27" spans="1:18" ht="36">
      <c r="A27" s="139" t="s">
        <v>1181</v>
      </c>
      <c r="B27" s="4" t="s">
        <v>1393</v>
      </c>
      <c r="C27" s="4" t="s">
        <v>524</v>
      </c>
      <c r="D27" s="104"/>
      <c r="E27" s="104" t="s">
        <v>529</v>
      </c>
      <c r="F27" s="104" t="s">
        <v>1117</v>
      </c>
      <c r="G27" s="104" t="s">
        <v>496</v>
      </c>
      <c r="H27" s="123" t="s">
        <v>517</v>
      </c>
      <c r="I27" s="119" t="s">
        <v>423</v>
      </c>
      <c r="J27" s="105" t="s">
        <v>455</v>
      </c>
      <c r="K27" s="126" t="s">
        <v>457</v>
      </c>
      <c r="L27" s="126" t="s">
        <v>1432</v>
      </c>
      <c r="M27" s="149" t="s">
        <v>1466</v>
      </c>
      <c r="N27" s="127" t="s">
        <v>359</v>
      </c>
      <c r="O27" s="124" t="s">
        <v>14</v>
      </c>
      <c r="P27" s="82" t="str">
        <f>IF(O27="","",VLOOKUP(O27,辅助表!$F$2:$G$200,2,FALSE))</f>
        <v>前围板5#</v>
      </c>
      <c r="Q27" s="103" t="s">
        <v>425</v>
      </c>
      <c r="R27" s="155" t="s">
        <v>1109</v>
      </c>
    </row>
    <row r="28" spans="1:18" ht="36">
      <c r="A28" s="139" t="s">
        <v>1182</v>
      </c>
      <c r="B28" s="4" t="s">
        <v>1393</v>
      </c>
      <c r="C28" s="4" t="s">
        <v>524</v>
      </c>
      <c r="D28" s="104"/>
      <c r="E28" s="104" t="s">
        <v>530</v>
      </c>
      <c r="F28" s="104" t="s">
        <v>1117</v>
      </c>
      <c r="G28" s="104" t="s">
        <v>496</v>
      </c>
      <c r="H28" s="123" t="s">
        <v>517</v>
      </c>
      <c r="I28" s="119" t="s">
        <v>423</v>
      </c>
      <c r="J28" s="105" t="s">
        <v>455</v>
      </c>
      <c r="K28" s="126" t="s">
        <v>457</v>
      </c>
      <c r="L28" s="126" t="s">
        <v>1432</v>
      </c>
      <c r="M28" s="149" t="s">
        <v>1466</v>
      </c>
      <c r="N28" s="127" t="s">
        <v>359</v>
      </c>
      <c r="O28" s="124" t="s">
        <v>13</v>
      </c>
      <c r="P28" s="82" t="str">
        <f>IF(O28="","",VLOOKUP(O28,辅助表!$F$2:$G$200,2,FALSE))</f>
        <v>前围板6#</v>
      </c>
      <c r="Q28" s="103" t="s">
        <v>425</v>
      </c>
      <c r="R28" s="155" t="s">
        <v>1109</v>
      </c>
    </row>
    <row r="29" spans="1:18" ht="36">
      <c r="A29" s="139" t="s">
        <v>1183</v>
      </c>
      <c r="B29" s="4" t="s">
        <v>1393</v>
      </c>
      <c r="C29" s="4" t="s">
        <v>524</v>
      </c>
      <c r="D29" s="104"/>
      <c r="E29" s="159" t="s">
        <v>531</v>
      </c>
      <c r="F29" s="159" t="s">
        <v>1124</v>
      </c>
      <c r="G29" s="104" t="s">
        <v>496</v>
      </c>
      <c r="H29" s="123" t="s">
        <v>1120</v>
      </c>
      <c r="I29" s="119" t="s">
        <v>423</v>
      </c>
      <c r="J29" s="105" t="s">
        <v>455</v>
      </c>
      <c r="K29" s="126"/>
      <c r="L29" s="126"/>
      <c r="M29" s="149" t="s">
        <v>1466</v>
      </c>
      <c r="N29" s="127" t="s">
        <v>361</v>
      </c>
      <c r="O29" s="124" t="s">
        <v>1439</v>
      </c>
      <c r="P29" s="82" t="str">
        <f>IF(O29="","",VLOOKUP(O29,辅助表!$F$2:$G$200,2,FALSE))</f>
        <v>前纵梁左1#</v>
      </c>
      <c r="Q29" s="103" t="s">
        <v>399</v>
      </c>
      <c r="R29" s="153" t="s">
        <v>1138</v>
      </c>
    </row>
    <row r="30" spans="1:18" ht="36">
      <c r="A30" s="139" t="s">
        <v>1184</v>
      </c>
      <c r="B30" s="4" t="s">
        <v>1393</v>
      </c>
      <c r="C30" s="4" t="s">
        <v>524</v>
      </c>
      <c r="D30" s="104"/>
      <c r="E30" s="159" t="s">
        <v>532</v>
      </c>
      <c r="F30" s="159" t="s">
        <v>1124</v>
      </c>
      <c r="G30" s="104" t="s">
        <v>496</v>
      </c>
      <c r="H30" s="123" t="s">
        <v>1120</v>
      </c>
      <c r="I30" s="119" t="s">
        <v>423</v>
      </c>
      <c r="J30" s="105" t="s">
        <v>455</v>
      </c>
      <c r="K30" s="126"/>
      <c r="L30" s="126"/>
      <c r="M30" s="149" t="s">
        <v>1466</v>
      </c>
      <c r="N30" s="127" t="s">
        <v>361</v>
      </c>
      <c r="O30" s="124" t="s">
        <v>43</v>
      </c>
      <c r="P30" s="82" t="str">
        <f>IF(O30="","",VLOOKUP(O30,辅助表!$F$2:$G$200,2,FALSE))</f>
        <v>前纵梁右1#</v>
      </c>
      <c r="Q30" s="103" t="s">
        <v>399</v>
      </c>
      <c r="R30" s="153" t="s">
        <v>1138</v>
      </c>
    </row>
    <row r="31" spans="1:18" ht="24">
      <c r="A31" s="139" t="s">
        <v>1185</v>
      </c>
      <c r="B31" s="4" t="s">
        <v>1393</v>
      </c>
      <c r="C31" s="4" t="s">
        <v>524</v>
      </c>
      <c r="D31" s="104"/>
      <c r="E31" s="159" t="s">
        <v>1442</v>
      </c>
      <c r="F31" s="159" t="s">
        <v>1124</v>
      </c>
      <c r="G31" s="104" t="s">
        <v>496</v>
      </c>
      <c r="H31" s="123" t="s">
        <v>1120</v>
      </c>
      <c r="I31" s="119" t="s">
        <v>423</v>
      </c>
      <c r="J31" s="105" t="s">
        <v>455</v>
      </c>
      <c r="K31" s="126"/>
      <c r="L31" s="126"/>
      <c r="M31" s="149" t="s">
        <v>1466</v>
      </c>
      <c r="N31" s="127" t="s">
        <v>361</v>
      </c>
      <c r="O31" s="124" t="s">
        <v>1440</v>
      </c>
      <c r="P31" s="82" t="str">
        <f>IF(O31="","",VLOOKUP(O31,辅助表!$F$2:$G$200,2,FALSE))</f>
        <v>前纵梁左2#</v>
      </c>
      <c r="Q31" s="103" t="s">
        <v>399</v>
      </c>
      <c r="R31" s="153" t="s">
        <v>1138</v>
      </c>
    </row>
    <row r="32" spans="1:18" ht="24">
      <c r="A32" s="139" t="s">
        <v>1186</v>
      </c>
      <c r="B32" s="4" t="s">
        <v>1393</v>
      </c>
      <c r="C32" s="4" t="s">
        <v>524</v>
      </c>
      <c r="D32" s="104"/>
      <c r="E32" s="159" t="s">
        <v>1442</v>
      </c>
      <c r="F32" s="159" t="s">
        <v>1124</v>
      </c>
      <c r="G32" s="104" t="s">
        <v>496</v>
      </c>
      <c r="H32" s="123" t="s">
        <v>1120</v>
      </c>
      <c r="I32" s="119" t="s">
        <v>423</v>
      </c>
      <c r="J32" s="105" t="s">
        <v>455</v>
      </c>
      <c r="K32" s="126"/>
      <c r="L32" s="126"/>
      <c r="M32" s="149" t="s">
        <v>1466</v>
      </c>
      <c r="N32" s="127" t="s">
        <v>361</v>
      </c>
      <c r="O32" s="124" t="s">
        <v>1441</v>
      </c>
      <c r="P32" s="82" t="str">
        <f>IF(O32="","",VLOOKUP(O32,辅助表!$F$2:$G$200,2,FALSE))</f>
        <v>前纵梁右2#</v>
      </c>
      <c r="Q32" s="103" t="s">
        <v>399</v>
      </c>
      <c r="R32" s="153" t="s">
        <v>1138</v>
      </c>
    </row>
    <row r="33" spans="1:18" ht="36">
      <c r="A33" s="139" t="s">
        <v>1187</v>
      </c>
      <c r="B33" s="4" t="s">
        <v>1393</v>
      </c>
      <c r="C33" s="4" t="s">
        <v>524</v>
      </c>
      <c r="D33" s="104"/>
      <c r="E33" s="104" t="s">
        <v>533</v>
      </c>
      <c r="F33" s="104" t="s">
        <v>1115</v>
      </c>
      <c r="G33" s="104" t="s">
        <v>496</v>
      </c>
      <c r="H33" s="104" t="s">
        <v>1118</v>
      </c>
      <c r="I33" s="104" t="s">
        <v>1119</v>
      </c>
      <c r="J33" s="105" t="s">
        <v>455</v>
      </c>
      <c r="K33" s="126"/>
      <c r="L33" s="126"/>
      <c r="M33" s="149" t="s">
        <v>1466</v>
      </c>
      <c r="N33" s="127" t="s">
        <v>360</v>
      </c>
      <c r="O33" s="124" t="s">
        <v>430</v>
      </c>
      <c r="P33" s="82" t="str">
        <f>IF(O33="","",VLOOKUP(O33,辅助表!$F$2:$G$200,2,FALSE))</f>
        <v>后纵梁总成2#-右</v>
      </c>
      <c r="Q33" s="103" t="s">
        <v>399</v>
      </c>
      <c r="R33" s="156" t="s">
        <v>1109</v>
      </c>
    </row>
    <row r="34" spans="1:18" ht="36">
      <c r="A34" s="139" t="s">
        <v>1188</v>
      </c>
      <c r="B34" s="4" t="s">
        <v>1393</v>
      </c>
      <c r="C34" s="4" t="s">
        <v>524</v>
      </c>
      <c r="D34" s="104"/>
      <c r="E34" s="104" t="s">
        <v>535</v>
      </c>
      <c r="F34" s="104" t="s">
        <v>534</v>
      </c>
      <c r="G34" s="104" t="s">
        <v>496</v>
      </c>
      <c r="H34" s="104" t="s">
        <v>1118</v>
      </c>
      <c r="I34" s="104" t="s">
        <v>1119</v>
      </c>
      <c r="J34" s="105" t="s">
        <v>455</v>
      </c>
      <c r="K34" s="126"/>
      <c r="L34" s="126"/>
      <c r="M34" s="149" t="s">
        <v>1466</v>
      </c>
      <c r="N34" s="127" t="s">
        <v>360</v>
      </c>
      <c r="O34" s="124" t="s">
        <v>431</v>
      </c>
      <c r="P34" s="82" t="str">
        <f>IF(O34="","",VLOOKUP(O34,辅助表!$F$2:$G$200,2,FALSE))</f>
        <v>后纵梁总成2#-左</v>
      </c>
      <c r="Q34" s="103" t="s">
        <v>399</v>
      </c>
      <c r="R34" s="156" t="s">
        <v>1109</v>
      </c>
    </row>
    <row r="35" spans="1:18" ht="24">
      <c r="A35" s="139" t="s">
        <v>1189</v>
      </c>
      <c r="B35" s="4" t="s">
        <v>1393</v>
      </c>
      <c r="C35" s="4" t="s">
        <v>524</v>
      </c>
      <c r="D35" s="104"/>
      <c r="E35" s="104" t="s">
        <v>536</v>
      </c>
      <c r="F35" s="104" t="s">
        <v>537</v>
      </c>
      <c r="G35" s="104" t="s">
        <v>496</v>
      </c>
      <c r="H35" s="123" t="s">
        <v>1120</v>
      </c>
      <c r="I35" s="119" t="s">
        <v>423</v>
      </c>
      <c r="J35" s="105" t="s">
        <v>456</v>
      </c>
      <c r="K35" s="126" t="s">
        <v>457</v>
      </c>
      <c r="L35" s="126" t="s">
        <v>1432</v>
      </c>
      <c r="M35" s="149" t="s">
        <v>1466</v>
      </c>
      <c r="N35" s="127" t="s">
        <v>360</v>
      </c>
      <c r="O35" s="124" t="s">
        <v>28</v>
      </c>
      <c r="P35" s="82" t="str">
        <f>IF(O35="","",VLOOKUP(O35,辅助表!$F$2:$G$200,2,FALSE))</f>
        <v>后地板4#</v>
      </c>
      <c r="Q35" s="103" t="s">
        <v>399</v>
      </c>
      <c r="R35" s="156" t="s">
        <v>1109</v>
      </c>
    </row>
    <row r="36" spans="1:18" ht="24">
      <c r="A36" s="139" t="s">
        <v>1190</v>
      </c>
      <c r="B36" s="4" t="s">
        <v>1393</v>
      </c>
      <c r="C36" s="4" t="s">
        <v>524</v>
      </c>
      <c r="D36" s="104"/>
      <c r="E36" s="104" t="s">
        <v>538</v>
      </c>
      <c r="F36" s="104" t="s">
        <v>1125</v>
      </c>
      <c r="G36" s="104" t="s">
        <v>496</v>
      </c>
      <c r="H36" s="123" t="s">
        <v>517</v>
      </c>
      <c r="I36" s="119" t="s">
        <v>423</v>
      </c>
      <c r="J36" s="105" t="s">
        <v>455</v>
      </c>
      <c r="K36" s="126"/>
      <c r="L36" s="126"/>
      <c r="M36" s="149" t="s">
        <v>1466</v>
      </c>
      <c r="N36" s="127" t="s">
        <v>360</v>
      </c>
      <c r="O36" s="124" t="s">
        <v>26</v>
      </c>
      <c r="P36" s="82" t="str">
        <f>IF(O36="","",VLOOKUP(O36,辅助表!$F$2:$G$200,2,FALSE))</f>
        <v>后地板6#</v>
      </c>
      <c r="Q36" s="103" t="s">
        <v>399</v>
      </c>
      <c r="R36" s="156" t="s">
        <v>1109</v>
      </c>
    </row>
    <row r="37" spans="1:18" ht="48">
      <c r="A37" s="139" t="s">
        <v>1191</v>
      </c>
      <c r="B37" s="4" t="s">
        <v>1393</v>
      </c>
      <c r="C37" s="4" t="s">
        <v>524</v>
      </c>
      <c r="D37" s="4"/>
      <c r="E37" s="128" t="s">
        <v>539</v>
      </c>
      <c r="F37" s="4" t="s">
        <v>540</v>
      </c>
      <c r="G37" s="104" t="s">
        <v>496</v>
      </c>
      <c r="H37" s="104" t="s">
        <v>1118</v>
      </c>
      <c r="I37" s="104" t="s">
        <v>1119</v>
      </c>
      <c r="J37" s="118" t="s">
        <v>456</v>
      </c>
      <c r="K37" s="4" t="s">
        <v>458</v>
      </c>
      <c r="L37" s="4" t="s">
        <v>1432</v>
      </c>
      <c r="M37" s="149" t="s">
        <v>1466</v>
      </c>
      <c r="N37" s="125" t="s">
        <v>360</v>
      </c>
      <c r="O37" s="124" t="s">
        <v>26</v>
      </c>
      <c r="P37" s="82" t="str">
        <f>IF(O37="","",VLOOKUP(O37,辅助表!$F$2:$G$200,2,FALSE))</f>
        <v>后地板6#</v>
      </c>
      <c r="Q37" s="103" t="s">
        <v>425</v>
      </c>
      <c r="R37" s="156" t="s">
        <v>1109</v>
      </c>
    </row>
    <row r="38" spans="1:18" ht="24">
      <c r="A38" s="139" t="s">
        <v>1192</v>
      </c>
      <c r="B38" s="4" t="s">
        <v>1393</v>
      </c>
      <c r="C38" s="4" t="s">
        <v>524</v>
      </c>
      <c r="D38" s="106"/>
      <c r="E38" s="107" t="s">
        <v>541</v>
      </c>
      <c r="F38" s="106" t="s">
        <v>1122</v>
      </c>
      <c r="G38" s="106" t="s">
        <v>496</v>
      </c>
      <c r="H38" s="123" t="s">
        <v>517</v>
      </c>
      <c r="I38" s="119" t="s">
        <v>423</v>
      </c>
      <c r="J38" s="118" t="s">
        <v>456</v>
      </c>
      <c r="K38" s="106" t="s">
        <v>459</v>
      </c>
      <c r="L38" s="106" t="s">
        <v>1432</v>
      </c>
      <c r="M38" s="150" t="s">
        <v>1466</v>
      </c>
      <c r="N38" s="127" t="s">
        <v>360</v>
      </c>
      <c r="O38" s="127" t="s">
        <v>23</v>
      </c>
      <c r="P38" s="82" t="str">
        <f>IF(O38="","",VLOOKUP(O38,辅助表!$F$2:$G$200,2,FALSE))</f>
        <v>后地板9#</v>
      </c>
      <c r="Q38" s="103" t="s">
        <v>399</v>
      </c>
      <c r="R38" s="156" t="s">
        <v>1109</v>
      </c>
    </row>
    <row r="39" spans="1:18">
      <c r="A39" s="139" t="s">
        <v>1193</v>
      </c>
      <c r="B39" s="4" t="s">
        <v>1393</v>
      </c>
      <c r="C39" s="4" t="s">
        <v>524</v>
      </c>
      <c r="D39" s="104"/>
      <c r="E39" s="104" t="s">
        <v>542</v>
      </c>
      <c r="F39" s="104" t="s">
        <v>543</v>
      </c>
      <c r="G39" s="104" t="s">
        <v>496</v>
      </c>
      <c r="H39" s="104" t="s">
        <v>1118</v>
      </c>
      <c r="I39" s="104" t="s">
        <v>1123</v>
      </c>
      <c r="J39" s="105" t="s">
        <v>455</v>
      </c>
      <c r="K39" s="126"/>
      <c r="L39" s="126"/>
      <c r="M39" s="149" t="s">
        <v>1466</v>
      </c>
      <c r="N39" s="127" t="s">
        <v>360</v>
      </c>
      <c r="O39" s="124" t="s">
        <v>22</v>
      </c>
      <c r="P39" s="82" t="str">
        <f>IF(O39="","",VLOOKUP(O39,辅助表!$F$2:$G$200,2,FALSE))</f>
        <v>后地板10#</v>
      </c>
      <c r="Q39" s="103" t="s">
        <v>425</v>
      </c>
      <c r="R39" s="156" t="s">
        <v>1109</v>
      </c>
    </row>
    <row r="40" spans="1:18" ht="24">
      <c r="A40" s="139" t="s">
        <v>1194</v>
      </c>
      <c r="B40" s="4" t="s">
        <v>1393</v>
      </c>
      <c r="C40" s="4" t="s">
        <v>524</v>
      </c>
      <c r="D40" s="4"/>
      <c r="E40" s="128" t="s">
        <v>544</v>
      </c>
      <c r="F40" s="4" t="s">
        <v>545</v>
      </c>
      <c r="G40" s="104" t="s">
        <v>496</v>
      </c>
      <c r="H40" s="123" t="s">
        <v>517</v>
      </c>
      <c r="I40" s="119" t="s">
        <v>423</v>
      </c>
      <c r="J40" s="118" t="s">
        <v>456</v>
      </c>
      <c r="K40" s="4" t="s">
        <v>460</v>
      </c>
      <c r="L40" s="4" t="s">
        <v>1432</v>
      </c>
      <c r="M40" s="149" t="s">
        <v>1466</v>
      </c>
      <c r="N40" s="125" t="s">
        <v>360</v>
      </c>
      <c r="O40" s="124" t="s">
        <v>431</v>
      </c>
      <c r="P40" s="82" t="str">
        <f>IF(O40="","",VLOOKUP(O40,辅助表!$F$2:$G$200,2,FALSE))</f>
        <v>后纵梁总成2#-左</v>
      </c>
      <c r="Q40" s="103" t="s">
        <v>425</v>
      </c>
      <c r="R40" s="156" t="s">
        <v>1109</v>
      </c>
    </row>
    <row r="41" spans="1:18">
      <c r="A41" s="139" t="s">
        <v>1195</v>
      </c>
      <c r="B41" s="4" t="s">
        <v>1393</v>
      </c>
      <c r="C41" s="4" t="s">
        <v>524</v>
      </c>
      <c r="D41" s="106"/>
      <c r="E41" s="107" t="s">
        <v>546</v>
      </c>
      <c r="F41" s="106" t="s">
        <v>547</v>
      </c>
      <c r="G41" s="106" t="s">
        <v>496</v>
      </c>
      <c r="H41" s="123" t="s">
        <v>517</v>
      </c>
      <c r="I41" s="119" t="s">
        <v>423</v>
      </c>
      <c r="J41" s="118" t="s">
        <v>455</v>
      </c>
      <c r="K41" s="106"/>
      <c r="L41" s="106"/>
      <c r="M41" s="150" t="s">
        <v>1466</v>
      </c>
      <c r="N41" s="127" t="s">
        <v>360</v>
      </c>
      <c r="O41" s="127" t="s">
        <v>22</v>
      </c>
      <c r="P41" s="82" t="str">
        <f>IF(O41="","",VLOOKUP(O41,辅助表!$F$2:$G$200,2,FALSE))</f>
        <v>后地板10#</v>
      </c>
      <c r="Q41" s="103" t="s">
        <v>432</v>
      </c>
      <c r="R41" s="156" t="s">
        <v>1109</v>
      </c>
    </row>
    <row r="42" spans="1:18" ht="48">
      <c r="A42" s="139" t="s">
        <v>1196</v>
      </c>
      <c r="B42" s="4" t="s">
        <v>1393</v>
      </c>
      <c r="C42" s="4" t="s">
        <v>524</v>
      </c>
      <c r="D42" s="104"/>
      <c r="E42" s="104" t="s">
        <v>548</v>
      </c>
      <c r="F42" s="104" t="s">
        <v>549</v>
      </c>
      <c r="G42" s="104" t="s">
        <v>496</v>
      </c>
      <c r="H42" s="123" t="s">
        <v>517</v>
      </c>
      <c r="I42" s="119" t="s">
        <v>423</v>
      </c>
      <c r="J42" s="105" t="s">
        <v>456</v>
      </c>
      <c r="K42" s="126" t="s">
        <v>459</v>
      </c>
      <c r="L42" s="126" t="s">
        <v>1433</v>
      </c>
      <c r="M42" s="149" t="s">
        <v>1466</v>
      </c>
      <c r="N42" s="127" t="s">
        <v>358</v>
      </c>
      <c r="O42" s="124" t="s">
        <v>5</v>
      </c>
      <c r="P42" s="82" t="str">
        <f>IF(O42="","",VLOOKUP(O42,辅助表!$F$2:$G$200,2,FALSE))</f>
        <v>前地板1#</v>
      </c>
      <c r="Q42" s="103" t="s">
        <v>399</v>
      </c>
      <c r="R42" s="156" t="s">
        <v>1109</v>
      </c>
    </row>
    <row r="43" spans="1:18" ht="24">
      <c r="A43" s="139" t="s">
        <v>1197</v>
      </c>
      <c r="B43" s="4" t="s">
        <v>1393</v>
      </c>
      <c r="C43" s="4" t="s">
        <v>524</v>
      </c>
      <c r="D43" s="4"/>
      <c r="E43" s="128" t="s">
        <v>550</v>
      </c>
      <c r="F43" s="4" t="s">
        <v>1126</v>
      </c>
      <c r="G43" s="104" t="s">
        <v>496</v>
      </c>
      <c r="H43" s="123" t="s">
        <v>517</v>
      </c>
      <c r="I43" s="119" t="s">
        <v>423</v>
      </c>
      <c r="J43" s="118" t="s">
        <v>455</v>
      </c>
      <c r="K43" s="4"/>
      <c r="L43" s="4"/>
      <c r="M43" s="149" t="s">
        <v>1466</v>
      </c>
      <c r="N43" s="125" t="s">
        <v>358</v>
      </c>
      <c r="O43" s="124" t="s">
        <v>5</v>
      </c>
      <c r="P43" s="82" t="str">
        <f>IF(O43="","",VLOOKUP(O43,辅助表!$F$2:$G$200,2,FALSE))</f>
        <v>前地板1#</v>
      </c>
      <c r="Q43" s="103" t="s">
        <v>399</v>
      </c>
      <c r="R43" s="156" t="s">
        <v>1109</v>
      </c>
    </row>
    <row r="44" spans="1:18" ht="36">
      <c r="A44" s="139" t="s">
        <v>1198</v>
      </c>
      <c r="B44" s="4" t="s">
        <v>1393</v>
      </c>
      <c r="C44" s="4" t="s">
        <v>524</v>
      </c>
      <c r="D44" s="106"/>
      <c r="E44" s="107" t="s">
        <v>551</v>
      </c>
      <c r="F44" s="106" t="s">
        <v>552</v>
      </c>
      <c r="G44" s="106" t="s">
        <v>496</v>
      </c>
      <c r="H44" s="123" t="s">
        <v>517</v>
      </c>
      <c r="I44" s="119" t="s">
        <v>423</v>
      </c>
      <c r="J44" s="118" t="s">
        <v>456</v>
      </c>
      <c r="K44" s="106" t="s">
        <v>459</v>
      </c>
      <c r="L44" s="106" t="s">
        <v>1433</v>
      </c>
      <c r="M44" s="150" t="s">
        <v>1466</v>
      </c>
      <c r="N44" s="127" t="s">
        <v>358</v>
      </c>
      <c r="O44" s="127" t="s">
        <v>7</v>
      </c>
      <c r="P44" s="82" t="str">
        <f>IF(O44="","",VLOOKUP(O44,辅助表!$F$2:$G$200,2,FALSE))</f>
        <v>前地板3#</v>
      </c>
      <c r="Q44" s="103" t="s">
        <v>425</v>
      </c>
      <c r="R44" s="156" t="s">
        <v>1109</v>
      </c>
    </row>
    <row r="45" spans="1:18" ht="24">
      <c r="A45" s="139" t="s">
        <v>1199</v>
      </c>
      <c r="B45" s="4" t="s">
        <v>1393</v>
      </c>
      <c r="C45" s="4" t="s">
        <v>524</v>
      </c>
      <c r="D45" s="104"/>
      <c r="E45" s="104" t="s">
        <v>553</v>
      </c>
      <c r="F45" s="104" t="s">
        <v>554</v>
      </c>
      <c r="G45" s="104" t="s">
        <v>496</v>
      </c>
      <c r="H45" s="123" t="s">
        <v>517</v>
      </c>
      <c r="I45" s="119" t="s">
        <v>423</v>
      </c>
      <c r="J45" s="105" t="s">
        <v>455</v>
      </c>
      <c r="K45" s="126"/>
      <c r="L45" s="126"/>
      <c r="M45" s="149" t="s">
        <v>1466</v>
      </c>
      <c r="N45" s="127" t="s">
        <v>358</v>
      </c>
      <c r="O45" s="124" t="s">
        <v>8</v>
      </c>
      <c r="P45" s="82" t="str">
        <f>IF(O45="","",VLOOKUP(O45,辅助表!$F$2:$G$200,2,FALSE))</f>
        <v>前地板4#</v>
      </c>
      <c r="Q45" s="103" t="s">
        <v>399</v>
      </c>
      <c r="R45" s="156" t="s">
        <v>1109</v>
      </c>
    </row>
    <row r="46" spans="1:18" ht="24">
      <c r="A46" s="139" t="s">
        <v>1200</v>
      </c>
      <c r="B46" s="4" t="s">
        <v>1393</v>
      </c>
      <c r="C46" s="4" t="s">
        <v>524</v>
      </c>
      <c r="D46" s="4"/>
      <c r="E46" s="128" t="s">
        <v>1110</v>
      </c>
      <c r="F46" s="4" t="s">
        <v>1113</v>
      </c>
      <c r="G46" s="104" t="s">
        <v>496</v>
      </c>
      <c r="H46" s="123" t="s">
        <v>517</v>
      </c>
      <c r="I46" s="119" t="s">
        <v>423</v>
      </c>
      <c r="J46" s="118" t="s">
        <v>455</v>
      </c>
      <c r="K46" s="4"/>
      <c r="L46" s="4"/>
      <c r="M46" s="149" t="s">
        <v>1466</v>
      </c>
      <c r="N46" s="125" t="s">
        <v>358</v>
      </c>
      <c r="O46" s="124" t="s">
        <v>9</v>
      </c>
      <c r="P46" s="82" t="str">
        <f>IF(O46="","",VLOOKUP(O46,辅助表!$F$2:$G$200,2,FALSE))</f>
        <v>前地板5#</v>
      </c>
      <c r="Q46" s="103" t="s">
        <v>399</v>
      </c>
      <c r="R46" s="156" t="s">
        <v>1109</v>
      </c>
    </row>
    <row r="47" spans="1:18" ht="24">
      <c r="A47" s="139" t="s">
        <v>1201</v>
      </c>
      <c r="B47" s="4" t="s">
        <v>1393</v>
      </c>
      <c r="C47" s="4" t="s">
        <v>524</v>
      </c>
      <c r="D47" s="106"/>
      <c r="E47" s="107" t="s">
        <v>555</v>
      </c>
      <c r="F47" s="106"/>
      <c r="G47" s="106" t="s">
        <v>496</v>
      </c>
      <c r="H47" s="123" t="s">
        <v>517</v>
      </c>
      <c r="I47" s="119" t="s">
        <v>423</v>
      </c>
      <c r="J47" s="118" t="s">
        <v>455</v>
      </c>
      <c r="K47" s="106"/>
      <c r="L47" s="106"/>
      <c r="M47" s="150" t="s">
        <v>1466</v>
      </c>
      <c r="N47" s="127" t="s">
        <v>358</v>
      </c>
      <c r="O47" s="127" t="s">
        <v>7</v>
      </c>
      <c r="P47" s="82" t="str">
        <f>IF(O47="","",VLOOKUP(O47,辅助表!$F$2:$G$200,2,FALSE))</f>
        <v>前地板3#</v>
      </c>
      <c r="Q47" s="103" t="s">
        <v>399</v>
      </c>
      <c r="R47" s="156" t="s">
        <v>1109</v>
      </c>
    </row>
    <row r="48" spans="1:18" ht="48">
      <c r="A48" s="139" t="s">
        <v>1202</v>
      </c>
      <c r="B48" s="4" t="s">
        <v>1393</v>
      </c>
      <c r="C48" s="4" t="s">
        <v>524</v>
      </c>
      <c r="D48" s="104"/>
      <c r="E48" s="104" t="s">
        <v>556</v>
      </c>
      <c r="F48" s="104" t="s">
        <v>557</v>
      </c>
      <c r="G48" s="104" t="s">
        <v>496</v>
      </c>
      <c r="H48" s="104" t="s">
        <v>1118</v>
      </c>
      <c r="I48" s="104" t="s">
        <v>1119</v>
      </c>
      <c r="J48" s="105" t="s">
        <v>455</v>
      </c>
      <c r="K48" s="126"/>
      <c r="L48" s="126"/>
      <c r="M48" s="149" t="s">
        <v>1466</v>
      </c>
      <c r="N48" s="127" t="s">
        <v>358</v>
      </c>
      <c r="O48" s="124" t="s">
        <v>8</v>
      </c>
      <c r="P48" s="82" t="str">
        <f>IF(O48="","",VLOOKUP(O48,辅助表!$F$2:$G$200,2,FALSE))</f>
        <v>前地板4#</v>
      </c>
      <c r="Q48" s="103" t="s">
        <v>433</v>
      </c>
      <c r="R48" s="156" t="s">
        <v>1109</v>
      </c>
    </row>
    <row r="49" spans="1:18" ht="60">
      <c r="A49" s="139" t="s">
        <v>1203</v>
      </c>
      <c r="B49" s="4" t="s">
        <v>1393</v>
      </c>
      <c r="C49" s="4" t="s">
        <v>524</v>
      </c>
      <c r="D49" s="4"/>
      <c r="E49" s="104" t="s">
        <v>558</v>
      </c>
      <c r="F49" s="4" t="s">
        <v>1121</v>
      </c>
      <c r="G49" s="104" t="s">
        <v>496</v>
      </c>
      <c r="H49" s="104" t="s">
        <v>1118</v>
      </c>
      <c r="I49" s="104" t="s">
        <v>1119</v>
      </c>
      <c r="J49" s="118" t="s">
        <v>455</v>
      </c>
      <c r="K49" s="4"/>
      <c r="L49" s="4"/>
      <c r="M49" s="149" t="s">
        <v>1466</v>
      </c>
      <c r="N49" s="125" t="s">
        <v>358</v>
      </c>
      <c r="O49" s="124" t="s">
        <v>9</v>
      </c>
      <c r="P49" s="82" t="str">
        <f>IF(O49="","",VLOOKUP(O49,辅助表!$F$2:$G$200,2,FALSE))</f>
        <v>前地板5#</v>
      </c>
      <c r="Q49" s="103" t="s">
        <v>425</v>
      </c>
      <c r="R49" s="156" t="s">
        <v>1109</v>
      </c>
    </row>
    <row r="50" spans="1:18" ht="48">
      <c r="A50" s="139" t="s">
        <v>1204</v>
      </c>
      <c r="B50" s="4" t="s">
        <v>1393</v>
      </c>
      <c r="C50" s="4" t="s">
        <v>524</v>
      </c>
      <c r="D50" s="106"/>
      <c r="E50" s="104" t="s">
        <v>559</v>
      </c>
      <c r="F50" s="4" t="s">
        <v>1121</v>
      </c>
      <c r="G50" s="106" t="s">
        <v>496</v>
      </c>
      <c r="H50" s="104" t="s">
        <v>1118</v>
      </c>
      <c r="I50" s="104" t="s">
        <v>1119</v>
      </c>
      <c r="J50" s="118" t="s">
        <v>455</v>
      </c>
      <c r="K50" s="106"/>
      <c r="L50" s="106"/>
      <c r="M50" s="150" t="s">
        <v>1466</v>
      </c>
      <c r="N50" s="127" t="s">
        <v>358</v>
      </c>
      <c r="O50" s="127" t="s">
        <v>10</v>
      </c>
      <c r="P50" s="82" t="str">
        <f>IF(O50="","",VLOOKUP(O50,辅助表!$F$2:$G$200,2,FALSE))</f>
        <v>前地板6#</v>
      </c>
      <c r="Q50" s="103" t="s">
        <v>425</v>
      </c>
      <c r="R50" s="156" t="s">
        <v>1109</v>
      </c>
    </row>
    <row r="51" spans="1:18" ht="48">
      <c r="A51" s="139" t="s">
        <v>1205</v>
      </c>
      <c r="B51" s="4" t="s">
        <v>1393</v>
      </c>
      <c r="C51" s="4" t="s">
        <v>524</v>
      </c>
      <c r="D51" s="104"/>
      <c r="E51" s="104" t="s">
        <v>560</v>
      </c>
      <c r="F51" s="4" t="s">
        <v>1121</v>
      </c>
      <c r="G51" s="104" t="s">
        <v>496</v>
      </c>
      <c r="H51" s="104" t="s">
        <v>1118</v>
      </c>
      <c r="I51" s="104" t="s">
        <v>1119</v>
      </c>
      <c r="J51" s="105" t="s">
        <v>455</v>
      </c>
      <c r="K51" s="126"/>
      <c r="L51" s="126"/>
      <c r="M51" s="149" t="s">
        <v>1466</v>
      </c>
      <c r="N51" s="127" t="s">
        <v>358</v>
      </c>
      <c r="O51" s="124" t="s">
        <v>11</v>
      </c>
      <c r="P51" s="82" t="str">
        <f>IF(O51="","",VLOOKUP(O51,辅助表!$F$2:$G$200,2,FALSE))</f>
        <v>前地板7#</v>
      </c>
      <c r="Q51" s="103" t="s">
        <v>433</v>
      </c>
      <c r="R51" s="156" t="s">
        <v>1109</v>
      </c>
    </row>
    <row r="52" spans="1:18" ht="60">
      <c r="A52" s="139" t="s">
        <v>1206</v>
      </c>
      <c r="B52" s="4" t="s">
        <v>1393</v>
      </c>
      <c r="C52" s="4" t="s">
        <v>524</v>
      </c>
      <c r="D52" s="4"/>
      <c r="E52" s="104" t="s">
        <v>561</v>
      </c>
      <c r="F52" s="4" t="s">
        <v>1121</v>
      </c>
      <c r="G52" s="104" t="s">
        <v>496</v>
      </c>
      <c r="H52" s="104" t="s">
        <v>1118</v>
      </c>
      <c r="I52" s="104" t="s">
        <v>1119</v>
      </c>
      <c r="J52" s="118" t="s">
        <v>455</v>
      </c>
      <c r="K52" s="4"/>
      <c r="L52" s="4"/>
      <c r="M52" s="149" t="s">
        <v>1466</v>
      </c>
      <c r="N52" s="125" t="s">
        <v>359</v>
      </c>
      <c r="O52" s="124" t="s">
        <v>434</v>
      </c>
      <c r="P52" s="82" t="str">
        <f>IF(O52="","",VLOOKUP(O52,辅助表!$F$2:$G$200,2,FALSE))</f>
        <v>空气室1#</v>
      </c>
      <c r="Q52" s="103" t="s">
        <v>425</v>
      </c>
      <c r="R52" s="156" t="s">
        <v>1109</v>
      </c>
    </row>
    <row r="53" spans="1:18" ht="60">
      <c r="A53" s="139" t="s">
        <v>1455</v>
      </c>
      <c r="B53" s="98" t="s">
        <v>1393</v>
      </c>
      <c r="C53" s="99" t="s">
        <v>524</v>
      </c>
      <c r="D53" s="100"/>
      <c r="E53" s="99" t="s">
        <v>562</v>
      </c>
      <c r="F53" s="4" t="s">
        <v>1121</v>
      </c>
      <c r="G53" s="99" t="s">
        <v>496</v>
      </c>
      <c r="H53" s="104" t="s">
        <v>1118</v>
      </c>
      <c r="I53" s="104" t="s">
        <v>1119</v>
      </c>
      <c r="J53" s="102" t="s">
        <v>455</v>
      </c>
      <c r="K53" s="102"/>
      <c r="L53" s="101"/>
      <c r="M53" s="147" t="s">
        <v>1466</v>
      </c>
      <c r="N53" s="103" t="s">
        <v>359</v>
      </c>
      <c r="O53" s="82" t="s">
        <v>424</v>
      </c>
      <c r="P53" s="82" t="str">
        <f>IF(O53="","",VLOOKUP(O53,辅助表!$F$2:$G$200,2,FALSE))</f>
        <v>前围板1#</v>
      </c>
      <c r="Q53" s="82" t="s">
        <v>425</v>
      </c>
      <c r="R53" s="156" t="s">
        <v>1109</v>
      </c>
    </row>
    <row r="54" spans="1:18" ht="60">
      <c r="A54" s="139" t="s">
        <v>1456</v>
      </c>
      <c r="B54" s="98" t="s">
        <v>1393</v>
      </c>
      <c r="C54" s="99" t="s">
        <v>524</v>
      </c>
      <c r="D54" s="100"/>
      <c r="E54" s="99" t="s">
        <v>563</v>
      </c>
      <c r="F54" s="4" t="s">
        <v>1121</v>
      </c>
      <c r="G54" s="99" t="s">
        <v>496</v>
      </c>
      <c r="H54" s="104" t="s">
        <v>1118</v>
      </c>
      <c r="I54" s="104" t="s">
        <v>1119</v>
      </c>
      <c r="J54" s="102" t="s">
        <v>455</v>
      </c>
      <c r="K54" s="102"/>
      <c r="L54" s="101"/>
      <c r="M54" s="147" t="s">
        <v>1466</v>
      </c>
      <c r="N54" s="103" t="s">
        <v>359</v>
      </c>
      <c r="O54" s="82" t="s">
        <v>17</v>
      </c>
      <c r="P54" s="82" t="str">
        <f>IF(O54="","",VLOOKUP(O54,辅助表!$F$2:$G$200,2,FALSE))</f>
        <v>前围板2#</v>
      </c>
      <c r="Q54" s="82" t="s">
        <v>425</v>
      </c>
      <c r="R54" s="156" t="s">
        <v>1109</v>
      </c>
    </row>
    <row r="55" spans="1:18" ht="60">
      <c r="A55" s="139" t="s">
        <v>1457</v>
      </c>
      <c r="B55" s="98" t="s">
        <v>1393</v>
      </c>
      <c r="C55" s="99" t="s">
        <v>524</v>
      </c>
      <c r="D55" s="100"/>
      <c r="E55" s="99" t="s">
        <v>564</v>
      </c>
      <c r="F55" s="4" t="s">
        <v>1121</v>
      </c>
      <c r="G55" s="99" t="s">
        <v>496</v>
      </c>
      <c r="H55" s="104" t="s">
        <v>1118</v>
      </c>
      <c r="I55" s="104" t="s">
        <v>1119</v>
      </c>
      <c r="J55" s="102" t="s">
        <v>455</v>
      </c>
      <c r="K55" s="102"/>
      <c r="L55" s="101"/>
      <c r="M55" s="147" t="s">
        <v>1466</v>
      </c>
      <c r="N55" s="103" t="s">
        <v>360</v>
      </c>
      <c r="O55" s="82" t="s">
        <v>26</v>
      </c>
      <c r="P55" s="82" t="str">
        <f>IF(O55="","",VLOOKUP(O55,辅助表!$F$2:$G$200,2,FALSE))</f>
        <v>后地板6#</v>
      </c>
      <c r="Q55" s="82" t="s">
        <v>425</v>
      </c>
      <c r="R55" s="156" t="s">
        <v>1109</v>
      </c>
    </row>
    <row r="56" spans="1:18" ht="24">
      <c r="A56" s="139" t="s">
        <v>1458</v>
      </c>
      <c r="B56" s="98" t="s">
        <v>1365</v>
      </c>
      <c r="C56" s="99" t="s">
        <v>524</v>
      </c>
      <c r="D56" s="100"/>
      <c r="E56" s="99" t="s">
        <v>1111</v>
      </c>
      <c r="F56" s="4" t="s">
        <v>1113</v>
      </c>
      <c r="G56" s="106" t="s">
        <v>496</v>
      </c>
      <c r="H56" s="123" t="s">
        <v>517</v>
      </c>
      <c r="I56" s="119" t="s">
        <v>423</v>
      </c>
      <c r="J56" s="102" t="s">
        <v>455</v>
      </c>
      <c r="K56" s="102"/>
      <c r="L56" s="101"/>
      <c r="M56" s="147" t="s">
        <v>1466</v>
      </c>
      <c r="N56" s="103" t="s">
        <v>361</v>
      </c>
      <c r="O56" s="82" t="s">
        <v>43</v>
      </c>
      <c r="P56" s="82" t="str">
        <f>IF(O56="","",VLOOKUP(O56,辅助表!$F$2:$G$200,2,FALSE))</f>
        <v>前纵梁右1#</v>
      </c>
      <c r="Q56" s="82" t="s">
        <v>1129</v>
      </c>
      <c r="R56" s="156" t="s">
        <v>1109</v>
      </c>
    </row>
    <row r="57" spans="1:18" ht="24">
      <c r="A57" s="139" t="s">
        <v>1459</v>
      </c>
      <c r="B57" s="98" t="s">
        <v>1365</v>
      </c>
      <c r="C57" s="99" t="s">
        <v>524</v>
      </c>
      <c r="D57" s="100"/>
      <c r="E57" s="99" t="s">
        <v>1112</v>
      </c>
      <c r="F57" s="4" t="s">
        <v>1113</v>
      </c>
      <c r="G57" s="106" t="s">
        <v>496</v>
      </c>
      <c r="H57" s="123" t="s">
        <v>517</v>
      </c>
      <c r="I57" s="119" t="s">
        <v>423</v>
      </c>
      <c r="J57" s="102" t="s">
        <v>455</v>
      </c>
      <c r="K57" s="102"/>
      <c r="L57" s="101"/>
      <c r="M57" s="147" t="s">
        <v>1466</v>
      </c>
      <c r="N57" s="103" t="s">
        <v>359</v>
      </c>
      <c r="O57" s="82" t="s">
        <v>14</v>
      </c>
      <c r="P57" s="82" t="str">
        <f>IF(O57="","",VLOOKUP(O57,辅助表!$F$2:$G$200,2,FALSE))</f>
        <v>前围板5#</v>
      </c>
      <c r="Q57" s="82" t="s">
        <v>1129</v>
      </c>
      <c r="R57" s="156" t="s">
        <v>1109</v>
      </c>
    </row>
    <row r="58" spans="1:18">
      <c r="A58" s="139" t="s">
        <v>1460</v>
      </c>
      <c r="B58" s="98" t="s">
        <v>1365</v>
      </c>
      <c r="C58" s="99" t="s">
        <v>524</v>
      </c>
      <c r="D58" s="100"/>
      <c r="E58" s="100" t="s">
        <v>1127</v>
      </c>
      <c r="F58" s="4" t="s">
        <v>1128</v>
      </c>
      <c r="G58" s="106" t="s">
        <v>496</v>
      </c>
      <c r="H58" s="123" t="s">
        <v>517</v>
      </c>
      <c r="I58" s="119" t="s">
        <v>423</v>
      </c>
      <c r="J58" s="102" t="s">
        <v>455</v>
      </c>
      <c r="K58" s="102"/>
      <c r="L58" s="101"/>
      <c r="M58" s="147" t="s">
        <v>1466</v>
      </c>
      <c r="N58" s="103" t="s">
        <v>361</v>
      </c>
      <c r="O58" s="82" t="s">
        <v>40</v>
      </c>
      <c r="P58" s="82" t="str">
        <f>IF(O58="","",VLOOKUP(O58,辅助表!$F$2:$G$200,2,FALSE))</f>
        <v>前纵梁右4#</v>
      </c>
      <c r="Q58" s="82" t="s">
        <v>1129</v>
      </c>
      <c r="R58" s="156" t="s">
        <v>1109</v>
      </c>
    </row>
    <row r="59" spans="1:18" ht="48">
      <c r="A59" s="139" t="s">
        <v>1207</v>
      </c>
      <c r="B59" s="98" t="s">
        <v>1393</v>
      </c>
      <c r="C59" s="99" t="s">
        <v>1144</v>
      </c>
      <c r="D59" s="100"/>
      <c r="E59" s="100" t="s">
        <v>1145</v>
      </c>
      <c r="F59" s="100" t="s">
        <v>1146</v>
      </c>
      <c r="G59" s="99" t="s">
        <v>420</v>
      </c>
      <c r="H59" s="101" t="s">
        <v>1147</v>
      </c>
      <c r="I59" s="101" t="s">
        <v>1148</v>
      </c>
      <c r="J59" s="102" t="s">
        <v>455</v>
      </c>
      <c r="K59" s="102"/>
      <c r="L59" s="106"/>
      <c r="M59" s="147" t="s">
        <v>1466</v>
      </c>
      <c r="N59" s="103" t="s">
        <v>1149</v>
      </c>
      <c r="O59" s="82" t="s">
        <v>795</v>
      </c>
      <c r="P59" s="82" t="str">
        <f>IF(O59="","",VLOOKUP(O59,[1]辅助表!$F$2:$G$200,2,FALSE))</f>
        <v>C柱内板总成合件-左</v>
      </c>
      <c r="Q59" s="82" t="s">
        <v>425</v>
      </c>
      <c r="R59" s="155" t="s">
        <v>1109</v>
      </c>
    </row>
    <row r="60" spans="1:18" ht="48">
      <c r="A60" s="139" t="s">
        <v>1208</v>
      </c>
      <c r="B60" s="98" t="s">
        <v>1393</v>
      </c>
      <c r="C60" s="99" t="s">
        <v>1144</v>
      </c>
      <c r="D60" s="100"/>
      <c r="E60" s="100" t="s">
        <v>1145</v>
      </c>
      <c r="F60" s="100" t="s">
        <v>1146</v>
      </c>
      <c r="G60" s="99" t="s">
        <v>420</v>
      </c>
      <c r="H60" s="101" t="s">
        <v>1147</v>
      </c>
      <c r="I60" s="101" t="s">
        <v>1148</v>
      </c>
      <c r="J60" s="102" t="s">
        <v>455</v>
      </c>
      <c r="K60" s="102"/>
      <c r="L60" s="106"/>
      <c r="M60" s="147" t="s">
        <v>1466</v>
      </c>
      <c r="N60" s="103" t="s">
        <v>1078</v>
      </c>
      <c r="O60" s="82" t="s">
        <v>813</v>
      </c>
      <c r="P60" s="82" t="str">
        <f>IF(O60="","",VLOOKUP(O60,[1]辅助表!$F$2:$G$200,2,FALSE))</f>
        <v>C柱内板总成合件-右</v>
      </c>
      <c r="Q60" s="82" t="s">
        <v>425</v>
      </c>
      <c r="R60" s="155" t="s">
        <v>1109</v>
      </c>
    </row>
    <row r="61" spans="1:18" ht="60">
      <c r="A61" s="139" t="s">
        <v>1209</v>
      </c>
      <c r="B61" s="98" t="s">
        <v>1393</v>
      </c>
      <c r="C61" s="99" t="s">
        <v>1144</v>
      </c>
      <c r="D61" s="100"/>
      <c r="E61" s="100" t="s">
        <v>1150</v>
      </c>
      <c r="F61" s="100" t="s">
        <v>1146</v>
      </c>
      <c r="G61" s="99" t="s">
        <v>420</v>
      </c>
      <c r="H61" s="101" t="s">
        <v>1147</v>
      </c>
      <c r="I61" s="101" t="s">
        <v>1148</v>
      </c>
      <c r="J61" s="102" t="s">
        <v>455</v>
      </c>
      <c r="K61" s="102"/>
      <c r="L61" s="106"/>
      <c r="M61" s="147" t="s">
        <v>1466</v>
      </c>
      <c r="N61" s="103" t="s">
        <v>1077</v>
      </c>
      <c r="O61" s="82" t="s">
        <v>797</v>
      </c>
      <c r="P61" s="82" t="str">
        <f>IF(O61="","",VLOOKUP(O61,[1]辅助表!$F$2:$G$200,2,FALSE))</f>
        <v>C柱内板总成-左</v>
      </c>
      <c r="Q61" s="82" t="s">
        <v>425</v>
      </c>
      <c r="R61" s="155" t="s">
        <v>1109</v>
      </c>
    </row>
    <row r="62" spans="1:18" ht="60">
      <c r="A62" s="139" t="s">
        <v>1210</v>
      </c>
      <c r="B62" s="98" t="s">
        <v>1393</v>
      </c>
      <c r="C62" s="99" t="s">
        <v>1144</v>
      </c>
      <c r="D62" s="100"/>
      <c r="E62" s="100" t="s">
        <v>1150</v>
      </c>
      <c r="F62" s="100" t="s">
        <v>1146</v>
      </c>
      <c r="G62" s="99" t="s">
        <v>420</v>
      </c>
      <c r="H62" s="101" t="s">
        <v>1147</v>
      </c>
      <c r="I62" s="101" t="s">
        <v>1148</v>
      </c>
      <c r="J62" s="102" t="s">
        <v>455</v>
      </c>
      <c r="K62" s="102"/>
      <c r="L62" s="106"/>
      <c r="M62" s="147" t="s">
        <v>1466</v>
      </c>
      <c r="N62" s="103" t="s">
        <v>1078</v>
      </c>
      <c r="O62" s="82" t="s">
        <v>817</v>
      </c>
      <c r="P62" s="82" t="str">
        <f>IF(O62="","",VLOOKUP(O62,[1]辅助表!$F$2:$G$200,2,FALSE))</f>
        <v>C柱内板总成-右</v>
      </c>
      <c r="Q62" s="82" t="s">
        <v>425</v>
      </c>
      <c r="R62" s="155" t="s">
        <v>1109</v>
      </c>
    </row>
    <row r="63" spans="1:18" ht="60">
      <c r="A63" s="139" t="s">
        <v>1211</v>
      </c>
      <c r="B63" s="98" t="s">
        <v>1393</v>
      </c>
      <c r="C63" s="99" t="s">
        <v>1144</v>
      </c>
      <c r="D63" s="100"/>
      <c r="E63" s="100" t="s">
        <v>1151</v>
      </c>
      <c r="F63" s="100" t="s">
        <v>1152</v>
      </c>
      <c r="G63" s="99" t="s">
        <v>420</v>
      </c>
      <c r="H63" s="101" t="s">
        <v>1147</v>
      </c>
      <c r="I63" s="101" t="s">
        <v>1148</v>
      </c>
      <c r="J63" s="102" t="s">
        <v>455</v>
      </c>
      <c r="K63" s="102"/>
      <c r="L63" s="106"/>
      <c r="M63" s="147" t="s">
        <v>1466</v>
      </c>
      <c r="N63" s="103" t="s">
        <v>1078</v>
      </c>
      <c r="O63" s="82" t="s">
        <v>823</v>
      </c>
      <c r="P63" s="82" t="str">
        <f>IF(O63="","",VLOOKUP(O63,[1]辅助表!$F$2:$G$200,2,FALSE))</f>
        <v>后侧围内板总成-右</v>
      </c>
      <c r="Q63" s="82" t="s">
        <v>433</v>
      </c>
      <c r="R63" s="155" t="s">
        <v>1109</v>
      </c>
    </row>
    <row r="64" spans="1:18" ht="60">
      <c r="A64" s="139" t="s">
        <v>1212</v>
      </c>
      <c r="B64" s="98" t="s">
        <v>1393</v>
      </c>
      <c r="C64" s="99" t="s">
        <v>1144</v>
      </c>
      <c r="D64" s="100"/>
      <c r="E64" s="100" t="s">
        <v>1153</v>
      </c>
      <c r="F64" s="100" t="s">
        <v>1152</v>
      </c>
      <c r="G64" s="99" t="s">
        <v>420</v>
      </c>
      <c r="H64" s="101" t="s">
        <v>1147</v>
      </c>
      <c r="I64" s="101" t="s">
        <v>1148</v>
      </c>
      <c r="J64" s="102" t="s">
        <v>455</v>
      </c>
      <c r="K64" s="102"/>
      <c r="L64" s="106"/>
      <c r="M64" s="147" t="s">
        <v>1466</v>
      </c>
      <c r="N64" s="103" t="s">
        <v>1078</v>
      </c>
      <c r="O64" s="82" t="s">
        <v>826</v>
      </c>
      <c r="P64" s="82" t="str">
        <f>IF(O64="","",VLOOKUP(O64,[1]辅助表!$F$2:$G$200,2,FALSE))</f>
        <v>后侧围内板总成-右</v>
      </c>
      <c r="Q64" s="82" t="s">
        <v>433</v>
      </c>
      <c r="R64" s="155" t="s">
        <v>1109</v>
      </c>
    </row>
    <row r="65" spans="1:18" ht="60">
      <c r="A65" s="139" t="s">
        <v>1213</v>
      </c>
      <c r="B65" s="98" t="s">
        <v>1393</v>
      </c>
      <c r="C65" s="99" t="s">
        <v>1144</v>
      </c>
      <c r="D65" s="100"/>
      <c r="E65" s="100" t="s">
        <v>1151</v>
      </c>
      <c r="F65" s="100" t="s">
        <v>1152</v>
      </c>
      <c r="G65" s="99" t="s">
        <v>420</v>
      </c>
      <c r="H65" s="101" t="s">
        <v>1147</v>
      </c>
      <c r="I65" s="101" t="s">
        <v>1148</v>
      </c>
      <c r="J65" s="102" t="s">
        <v>455</v>
      </c>
      <c r="K65" s="102"/>
      <c r="L65" s="106"/>
      <c r="M65" s="147" t="s">
        <v>1466</v>
      </c>
      <c r="N65" s="103" t="s">
        <v>1077</v>
      </c>
      <c r="O65" s="82" t="s">
        <v>803</v>
      </c>
      <c r="P65" s="82" t="str">
        <f>IF(O65="","",VLOOKUP(O65,[1]辅助表!$F$2:$G$200,2,FALSE))</f>
        <v>后侧围内板总成-左</v>
      </c>
      <c r="Q65" s="82" t="s">
        <v>433</v>
      </c>
      <c r="R65" s="155" t="s">
        <v>1109</v>
      </c>
    </row>
    <row r="66" spans="1:18" ht="60">
      <c r="A66" s="139" t="s">
        <v>1214</v>
      </c>
      <c r="B66" s="98" t="s">
        <v>1393</v>
      </c>
      <c r="C66" s="99" t="s">
        <v>1144</v>
      </c>
      <c r="D66" s="100"/>
      <c r="E66" s="100" t="s">
        <v>1153</v>
      </c>
      <c r="F66" s="100" t="s">
        <v>1152</v>
      </c>
      <c r="G66" s="99" t="s">
        <v>420</v>
      </c>
      <c r="H66" s="101" t="s">
        <v>1147</v>
      </c>
      <c r="I66" s="101" t="s">
        <v>1148</v>
      </c>
      <c r="J66" s="102" t="s">
        <v>455</v>
      </c>
      <c r="K66" s="102"/>
      <c r="L66" s="106"/>
      <c r="M66" s="147" t="s">
        <v>1466</v>
      </c>
      <c r="N66" s="103" t="s">
        <v>1077</v>
      </c>
      <c r="O66" s="82" t="s">
        <v>807</v>
      </c>
      <c r="P66" s="82" t="str">
        <f>IF(O66="","",VLOOKUP(O66,[1]辅助表!$F$2:$G$200,2,FALSE))</f>
        <v>后侧围内板总成-左</v>
      </c>
      <c r="Q66" s="82" t="s">
        <v>433</v>
      </c>
      <c r="R66" s="155" t="s">
        <v>1109</v>
      </c>
    </row>
    <row r="67" spans="1:18">
      <c r="A67" s="139" t="s">
        <v>1215</v>
      </c>
      <c r="B67" s="98" t="s">
        <v>1393</v>
      </c>
      <c r="C67" s="99" t="s">
        <v>1130</v>
      </c>
      <c r="D67" s="100"/>
      <c r="E67" s="100" t="s">
        <v>568</v>
      </c>
      <c r="F67" s="100" t="s">
        <v>569</v>
      </c>
      <c r="G67" s="99" t="s">
        <v>420</v>
      </c>
      <c r="H67" s="101" t="s">
        <v>1131</v>
      </c>
      <c r="I67" s="101" t="s">
        <v>1132</v>
      </c>
      <c r="J67" s="102" t="s">
        <v>455</v>
      </c>
      <c r="K67" s="102"/>
      <c r="L67" s="101"/>
      <c r="M67" s="147" t="s">
        <v>1466</v>
      </c>
      <c r="N67" s="103" t="s">
        <v>1133</v>
      </c>
      <c r="O67" s="82" t="s">
        <v>797</v>
      </c>
      <c r="P67" s="82" t="str">
        <f>IF(O67="","",VLOOKUP(O67,[1]辅助表!$F$2:$G$200,2,FALSE))</f>
        <v>C柱内板总成-左</v>
      </c>
      <c r="Q67" s="82" t="s">
        <v>399</v>
      </c>
      <c r="R67" s="155" t="s">
        <v>1109</v>
      </c>
    </row>
    <row r="68" spans="1:18" ht="24">
      <c r="A68" s="139" t="s">
        <v>1216</v>
      </c>
      <c r="B68" s="98" t="s">
        <v>1393</v>
      </c>
      <c r="C68" s="99" t="s">
        <v>1130</v>
      </c>
      <c r="D68" s="100"/>
      <c r="E68" s="100" t="s">
        <v>570</v>
      </c>
      <c r="F68" s="100" t="s">
        <v>571</v>
      </c>
      <c r="G68" s="99" t="s">
        <v>420</v>
      </c>
      <c r="H68" s="101" t="s">
        <v>1131</v>
      </c>
      <c r="I68" s="101" t="s">
        <v>1132</v>
      </c>
      <c r="J68" s="102" t="s">
        <v>455</v>
      </c>
      <c r="K68" s="102"/>
      <c r="L68" s="101"/>
      <c r="M68" s="147" t="s">
        <v>1466</v>
      </c>
      <c r="N68" s="103" t="s">
        <v>1133</v>
      </c>
      <c r="O68" s="82" t="s">
        <v>802</v>
      </c>
      <c r="P68" s="82" t="str">
        <f>IF(O68="","",VLOOKUP(O68,[1]辅助表!$F$2:$G$200,2,FALSE))</f>
        <v>后侧围内板总成合件-左</v>
      </c>
      <c r="Q68" s="82" t="s">
        <v>399</v>
      </c>
      <c r="R68" s="155" t="s">
        <v>1109</v>
      </c>
    </row>
    <row r="69" spans="1:18" ht="24">
      <c r="A69" s="139" t="s">
        <v>1217</v>
      </c>
      <c r="B69" s="98" t="s">
        <v>1393</v>
      </c>
      <c r="C69" s="99" t="s">
        <v>565</v>
      </c>
      <c r="D69" s="100"/>
      <c r="E69" s="100" t="s">
        <v>572</v>
      </c>
      <c r="F69" s="100" t="s">
        <v>573</v>
      </c>
      <c r="G69" s="99" t="s">
        <v>420</v>
      </c>
      <c r="H69" s="101" t="s">
        <v>1131</v>
      </c>
      <c r="I69" s="101" t="s">
        <v>1132</v>
      </c>
      <c r="J69" s="102" t="s">
        <v>455</v>
      </c>
      <c r="K69" s="102" t="s">
        <v>1365</v>
      </c>
      <c r="L69" s="106" t="s">
        <v>1429</v>
      </c>
      <c r="M69" s="147" t="s">
        <v>1466</v>
      </c>
      <c r="N69" s="103" t="s">
        <v>1133</v>
      </c>
      <c r="O69" s="82" t="s">
        <v>803</v>
      </c>
      <c r="P69" s="82" t="str">
        <f>IF(O69="","",VLOOKUP(O69,[1]辅助表!$F$2:$G$200,2,FALSE))</f>
        <v>后侧围内板总成-左</v>
      </c>
      <c r="Q69" s="82" t="s">
        <v>425</v>
      </c>
      <c r="R69" s="155" t="s">
        <v>1109</v>
      </c>
    </row>
    <row r="70" spans="1:18">
      <c r="A70" s="139" t="s">
        <v>1218</v>
      </c>
      <c r="B70" s="98" t="s">
        <v>1393</v>
      </c>
      <c r="C70" s="99" t="s">
        <v>565</v>
      </c>
      <c r="D70" s="100"/>
      <c r="E70" s="100" t="s">
        <v>574</v>
      </c>
      <c r="F70" s="100" t="s">
        <v>575</v>
      </c>
      <c r="G70" s="99" t="s">
        <v>420</v>
      </c>
      <c r="H70" s="101" t="s">
        <v>1131</v>
      </c>
      <c r="I70" s="101" t="s">
        <v>1132</v>
      </c>
      <c r="J70" s="102" t="s">
        <v>455</v>
      </c>
      <c r="K70" s="102"/>
      <c r="L70" s="101"/>
      <c r="M70" s="147" t="s">
        <v>1466</v>
      </c>
      <c r="N70" s="103" t="s">
        <v>1133</v>
      </c>
      <c r="O70" s="82" t="s">
        <v>805</v>
      </c>
      <c r="P70" s="82" t="str">
        <f>IF(O70="","",VLOOKUP(O70,[1]辅助表!$F$2:$G$200,2,FALSE))</f>
        <v>后侧围内板分总成-左</v>
      </c>
      <c r="Q70" s="82" t="s">
        <v>399</v>
      </c>
      <c r="R70" s="155" t="s">
        <v>1109</v>
      </c>
    </row>
    <row r="71" spans="1:18">
      <c r="A71" s="139" t="s">
        <v>1219</v>
      </c>
      <c r="B71" s="98" t="s">
        <v>1393</v>
      </c>
      <c r="C71" s="99" t="s">
        <v>565</v>
      </c>
      <c r="D71" s="100"/>
      <c r="E71" s="100" t="s">
        <v>574</v>
      </c>
      <c r="F71" s="100" t="s">
        <v>575</v>
      </c>
      <c r="G71" s="99" t="s">
        <v>420</v>
      </c>
      <c r="H71" s="101" t="s">
        <v>1131</v>
      </c>
      <c r="I71" s="101" t="s">
        <v>1132</v>
      </c>
      <c r="J71" s="102" t="s">
        <v>455</v>
      </c>
      <c r="K71" s="102"/>
      <c r="L71" s="101"/>
      <c r="M71" s="147" t="s">
        <v>1466</v>
      </c>
      <c r="N71" s="103" t="s">
        <v>1133</v>
      </c>
      <c r="O71" s="82" t="s">
        <v>807</v>
      </c>
      <c r="P71" s="82" t="str">
        <f>IF(O71="","",VLOOKUP(O71,[1]辅助表!$F$2:$G$200,2,FALSE))</f>
        <v>后侧围内板总成-左</v>
      </c>
      <c r="Q71" s="82" t="s">
        <v>399</v>
      </c>
      <c r="R71" s="155" t="s">
        <v>1109</v>
      </c>
    </row>
    <row r="72" spans="1:18" ht="24">
      <c r="A72" s="139" t="s">
        <v>1220</v>
      </c>
      <c r="B72" s="98" t="s">
        <v>1393</v>
      </c>
      <c r="C72" s="99" t="s">
        <v>565</v>
      </c>
      <c r="D72" s="4"/>
      <c r="E72" s="100" t="s">
        <v>566</v>
      </c>
      <c r="F72" s="100" t="s">
        <v>567</v>
      </c>
      <c r="G72" s="99" t="s">
        <v>420</v>
      </c>
      <c r="H72" s="101" t="s">
        <v>1131</v>
      </c>
      <c r="I72" s="101" t="s">
        <v>1132</v>
      </c>
      <c r="J72" s="102" t="s">
        <v>455</v>
      </c>
      <c r="K72" s="102" t="s">
        <v>1365</v>
      </c>
      <c r="L72" s="106" t="s">
        <v>1429</v>
      </c>
      <c r="M72" s="147" t="s">
        <v>1466</v>
      </c>
      <c r="N72" s="103" t="s">
        <v>1134</v>
      </c>
      <c r="O72" s="124" t="s">
        <v>811</v>
      </c>
      <c r="P72" s="82" t="str">
        <f>IF(O72="","",VLOOKUP(O72,[1]辅助表!$F$2:$G$200,2,FALSE))</f>
        <v>后轮罩外板总成-右</v>
      </c>
      <c r="Q72" s="82" t="s">
        <v>425</v>
      </c>
      <c r="R72" s="155" t="s">
        <v>1109</v>
      </c>
    </row>
    <row r="73" spans="1:18" ht="24">
      <c r="A73" s="139" t="s">
        <v>1221</v>
      </c>
      <c r="B73" s="98" t="s">
        <v>1393</v>
      </c>
      <c r="C73" s="99" t="s">
        <v>565</v>
      </c>
      <c r="D73" s="4"/>
      <c r="E73" s="100" t="s">
        <v>576</v>
      </c>
      <c r="F73" s="100" t="s">
        <v>577</v>
      </c>
      <c r="G73" s="99" t="s">
        <v>420</v>
      </c>
      <c r="H73" s="101" t="s">
        <v>1131</v>
      </c>
      <c r="I73" s="101" t="s">
        <v>1132</v>
      </c>
      <c r="J73" s="102" t="s">
        <v>455</v>
      </c>
      <c r="K73" s="102"/>
      <c r="L73" s="101"/>
      <c r="M73" s="147" t="s">
        <v>1466</v>
      </c>
      <c r="N73" s="103" t="s">
        <v>1134</v>
      </c>
      <c r="O73" s="124" t="s">
        <v>813</v>
      </c>
      <c r="P73" s="82" t="str">
        <f>IF(O73="","",VLOOKUP(O73,[1]辅助表!$F$2:$G$200,2,FALSE))</f>
        <v>C柱内板总成合件-右</v>
      </c>
      <c r="Q73" s="82" t="s">
        <v>399</v>
      </c>
      <c r="R73" s="155" t="s">
        <v>1109</v>
      </c>
    </row>
    <row r="74" spans="1:18">
      <c r="A74" s="139" t="s">
        <v>1222</v>
      </c>
      <c r="B74" s="98" t="s">
        <v>1393</v>
      </c>
      <c r="C74" s="99" t="s">
        <v>565</v>
      </c>
      <c r="D74" s="104"/>
      <c r="E74" s="100" t="s">
        <v>578</v>
      </c>
      <c r="F74" s="100" t="s">
        <v>579</v>
      </c>
      <c r="G74" s="99" t="s">
        <v>420</v>
      </c>
      <c r="H74" s="101" t="s">
        <v>1131</v>
      </c>
      <c r="I74" s="101" t="s">
        <v>1132</v>
      </c>
      <c r="J74" s="105" t="s">
        <v>455</v>
      </c>
      <c r="K74" s="126"/>
      <c r="L74" s="126"/>
      <c r="M74" s="147" t="s">
        <v>1466</v>
      </c>
      <c r="N74" s="103" t="s">
        <v>1134</v>
      </c>
      <c r="O74" s="124" t="s">
        <v>813</v>
      </c>
      <c r="P74" s="82" t="str">
        <f>IF(O74="","",VLOOKUP(O74,[1]辅助表!$F$2:$G$200,2,FALSE))</f>
        <v>C柱内板总成合件-右</v>
      </c>
      <c r="Q74" s="82" t="s">
        <v>399</v>
      </c>
      <c r="R74" s="155" t="s">
        <v>1109</v>
      </c>
    </row>
    <row r="75" spans="1:18">
      <c r="A75" s="139" t="s">
        <v>1223</v>
      </c>
      <c r="B75" s="98" t="s">
        <v>1393</v>
      </c>
      <c r="C75" s="99" t="s">
        <v>565</v>
      </c>
      <c r="D75" s="4"/>
      <c r="E75" s="100" t="s">
        <v>574</v>
      </c>
      <c r="F75" s="100" t="s">
        <v>575</v>
      </c>
      <c r="G75" s="99" t="s">
        <v>420</v>
      </c>
      <c r="H75" s="101" t="s">
        <v>1131</v>
      </c>
      <c r="I75" s="101" t="s">
        <v>1132</v>
      </c>
      <c r="J75" s="118" t="s">
        <v>455</v>
      </c>
      <c r="K75" s="4"/>
      <c r="L75" s="4"/>
      <c r="M75" s="147" t="s">
        <v>1466</v>
      </c>
      <c r="N75" s="103" t="s">
        <v>1078</v>
      </c>
      <c r="O75" s="124" t="s">
        <v>823</v>
      </c>
      <c r="P75" s="82" t="str">
        <f>IF(O75="","",VLOOKUP(O75,[1]辅助表!$F$2:$G$200,2,FALSE))</f>
        <v>后侧围内板总成-右</v>
      </c>
      <c r="Q75" s="82" t="s">
        <v>399</v>
      </c>
      <c r="R75" s="155" t="s">
        <v>1109</v>
      </c>
    </row>
    <row r="76" spans="1:18" ht="24">
      <c r="A76" s="139" t="s">
        <v>1224</v>
      </c>
      <c r="B76" s="98" t="s">
        <v>1393</v>
      </c>
      <c r="C76" s="99" t="s">
        <v>565</v>
      </c>
      <c r="D76" s="106"/>
      <c r="E76" s="100" t="s">
        <v>572</v>
      </c>
      <c r="F76" s="100" t="s">
        <v>573</v>
      </c>
      <c r="G76" s="99" t="s">
        <v>420</v>
      </c>
      <c r="H76" s="101" t="s">
        <v>1131</v>
      </c>
      <c r="I76" s="101" t="s">
        <v>1132</v>
      </c>
      <c r="J76" s="118" t="s">
        <v>455</v>
      </c>
      <c r="K76" s="102" t="s">
        <v>1365</v>
      </c>
      <c r="L76" s="106" t="s">
        <v>1429</v>
      </c>
      <c r="M76" s="147" t="s">
        <v>1466</v>
      </c>
      <c r="N76" s="103" t="s">
        <v>1134</v>
      </c>
      <c r="O76" s="124" t="s">
        <v>823</v>
      </c>
      <c r="P76" s="82" t="str">
        <f>IF(O76="","",VLOOKUP(O76,[1]辅助表!$F$2:$G$200,2,FALSE))</f>
        <v>后侧围内板总成-右</v>
      </c>
      <c r="Q76" s="82" t="s">
        <v>425</v>
      </c>
      <c r="R76" s="155" t="s">
        <v>1109</v>
      </c>
    </row>
    <row r="77" spans="1:18">
      <c r="A77" s="139" t="s">
        <v>1225</v>
      </c>
      <c r="B77" s="98" t="s">
        <v>1393</v>
      </c>
      <c r="C77" s="99" t="s">
        <v>565</v>
      </c>
      <c r="D77" s="106"/>
      <c r="E77" s="100" t="s">
        <v>580</v>
      </c>
      <c r="F77" s="100" t="s">
        <v>581</v>
      </c>
      <c r="G77" s="99" t="s">
        <v>420</v>
      </c>
      <c r="H77" s="101" t="s">
        <v>1131</v>
      </c>
      <c r="I77" s="101" t="s">
        <v>1132</v>
      </c>
      <c r="J77" s="118" t="s">
        <v>455</v>
      </c>
      <c r="K77" s="106"/>
      <c r="L77" s="106"/>
      <c r="M77" s="147" t="s">
        <v>1466</v>
      </c>
      <c r="N77" s="103" t="s">
        <v>1134</v>
      </c>
      <c r="O77" s="124" t="s">
        <v>826</v>
      </c>
      <c r="P77" s="82" t="str">
        <f>IF(O77="","",VLOOKUP(O77,[1]辅助表!$F$2:$G$200,2,FALSE))</f>
        <v>后侧围内板总成-右</v>
      </c>
      <c r="Q77" s="82" t="s">
        <v>399</v>
      </c>
      <c r="R77" s="155" t="s">
        <v>1109</v>
      </c>
    </row>
    <row r="78" spans="1:18" ht="24">
      <c r="A78" s="139" t="s">
        <v>1226</v>
      </c>
      <c r="B78" s="98" t="s">
        <v>1393</v>
      </c>
      <c r="C78" s="99" t="s">
        <v>565</v>
      </c>
      <c r="D78" s="106"/>
      <c r="E78" s="100" t="s">
        <v>582</v>
      </c>
      <c r="F78" s="100" t="s">
        <v>583</v>
      </c>
      <c r="G78" s="99" t="s">
        <v>420</v>
      </c>
      <c r="H78" s="101" t="s">
        <v>1131</v>
      </c>
      <c r="I78" s="101" t="s">
        <v>1132</v>
      </c>
      <c r="J78" s="118" t="s">
        <v>455</v>
      </c>
      <c r="K78" s="102" t="s">
        <v>1365</v>
      </c>
      <c r="L78" s="106" t="s">
        <v>1429</v>
      </c>
      <c r="M78" s="147" t="s">
        <v>1466</v>
      </c>
      <c r="N78" s="103" t="s">
        <v>1134</v>
      </c>
      <c r="O78" s="124" t="s">
        <v>826</v>
      </c>
      <c r="P78" s="82" t="str">
        <f>IF(O78="","",VLOOKUP(O78,[1]辅助表!$F$2:$G$200,2,FALSE))</f>
        <v>后侧围内板总成-右</v>
      </c>
      <c r="Q78" s="82" t="s">
        <v>425</v>
      </c>
      <c r="R78" s="155" t="s">
        <v>1109</v>
      </c>
    </row>
    <row r="79" spans="1:18">
      <c r="A79" s="139" t="s">
        <v>1227</v>
      </c>
      <c r="B79" s="98" t="s">
        <v>1393</v>
      </c>
      <c r="C79" s="99" t="s">
        <v>565</v>
      </c>
      <c r="D79" s="106"/>
      <c r="E79" s="100" t="s">
        <v>584</v>
      </c>
      <c r="F79" s="107" t="s">
        <v>585</v>
      </c>
      <c r="G79" s="99" t="s">
        <v>420</v>
      </c>
      <c r="H79" s="101" t="s">
        <v>1131</v>
      </c>
      <c r="I79" s="101" t="s">
        <v>1132</v>
      </c>
      <c r="J79" s="118" t="s">
        <v>455</v>
      </c>
      <c r="K79" s="106"/>
      <c r="L79" s="106"/>
      <c r="M79" s="147" t="s">
        <v>1466</v>
      </c>
      <c r="N79" s="103" t="s">
        <v>1134</v>
      </c>
      <c r="O79" s="127" t="s">
        <v>826</v>
      </c>
      <c r="P79" s="82" t="str">
        <f>IF(O79="","",VLOOKUP(O79,[1]辅助表!$F$2:$G$200,2,FALSE))</f>
        <v>后侧围内板总成-右</v>
      </c>
      <c r="Q79" s="82" t="s">
        <v>399</v>
      </c>
      <c r="R79" s="155" t="s">
        <v>1109</v>
      </c>
    </row>
    <row r="80" spans="1:18">
      <c r="A80" s="139" t="s">
        <v>1228</v>
      </c>
      <c r="B80" s="98" t="s">
        <v>1393</v>
      </c>
      <c r="C80" s="99" t="s">
        <v>565</v>
      </c>
      <c r="D80" s="106"/>
      <c r="E80" s="100" t="s">
        <v>586</v>
      </c>
      <c r="F80" s="107" t="s">
        <v>587</v>
      </c>
      <c r="G80" s="99" t="s">
        <v>420</v>
      </c>
      <c r="H80" s="101" t="s">
        <v>1131</v>
      </c>
      <c r="I80" s="101" t="s">
        <v>1132</v>
      </c>
      <c r="J80" s="118" t="s">
        <v>455</v>
      </c>
      <c r="K80" s="106"/>
      <c r="L80" s="106"/>
      <c r="M80" s="147" t="s">
        <v>1466</v>
      </c>
      <c r="N80" s="103" t="s">
        <v>1134</v>
      </c>
      <c r="O80" s="127" t="s">
        <v>826</v>
      </c>
      <c r="P80" s="82" t="str">
        <f>IF(O80="","",VLOOKUP(O80,[1]辅助表!$F$2:$G$200,2,FALSE))</f>
        <v>后侧围内板总成-右</v>
      </c>
      <c r="Q80" s="82" t="s">
        <v>432</v>
      </c>
      <c r="R80" s="155" t="s">
        <v>1109</v>
      </c>
    </row>
    <row r="81" spans="1:18" ht="24">
      <c r="A81" s="139" t="s">
        <v>1229</v>
      </c>
      <c r="B81" s="98" t="s">
        <v>1393</v>
      </c>
      <c r="C81" s="99" t="s">
        <v>565</v>
      </c>
      <c r="D81" s="106"/>
      <c r="E81" s="100" t="s">
        <v>588</v>
      </c>
      <c r="F81" s="107" t="s">
        <v>589</v>
      </c>
      <c r="G81" s="99" t="s">
        <v>420</v>
      </c>
      <c r="H81" s="101" t="s">
        <v>1131</v>
      </c>
      <c r="I81" s="101" t="s">
        <v>1132</v>
      </c>
      <c r="J81" s="118" t="s">
        <v>455</v>
      </c>
      <c r="K81" s="106"/>
      <c r="L81" s="106"/>
      <c r="M81" s="147" t="s">
        <v>1466</v>
      </c>
      <c r="N81" s="103" t="s">
        <v>1134</v>
      </c>
      <c r="O81" s="127" t="s">
        <v>826</v>
      </c>
      <c r="P81" s="82" t="str">
        <f>IF(O81="","",VLOOKUP(O81,[1]辅助表!$F$2:$G$200,2,FALSE))</f>
        <v>后侧围内板总成-右</v>
      </c>
      <c r="Q81" s="82" t="s">
        <v>399</v>
      </c>
      <c r="R81" s="155" t="s">
        <v>1109</v>
      </c>
    </row>
    <row r="82" spans="1:18">
      <c r="A82" s="139" t="s">
        <v>1230</v>
      </c>
      <c r="B82" s="98" t="s">
        <v>1393</v>
      </c>
      <c r="C82" s="99" t="s">
        <v>1130</v>
      </c>
      <c r="D82" s="106"/>
      <c r="E82" s="100" t="s">
        <v>590</v>
      </c>
      <c r="F82" s="107" t="s">
        <v>591</v>
      </c>
      <c r="G82" s="99" t="s">
        <v>420</v>
      </c>
      <c r="H82" s="4" t="s">
        <v>1135</v>
      </c>
      <c r="I82" s="101" t="s">
        <v>1132</v>
      </c>
      <c r="J82" s="118" t="s">
        <v>455</v>
      </c>
      <c r="K82" s="106"/>
      <c r="L82" s="106"/>
      <c r="M82" s="147" t="s">
        <v>1466</v>
      </c>
      <c r="N82" s="103" t="s">
        <v>1136</v>
      </c>
      <c r="O82" s="127" t="s">
        <v>1086</v>
      </c>
      <c r="P82" s="82" t="str">
        <f>IF(O82="","",VLOOKUP(O82,[1]辅助表!$F$2:$G$200,2,FALSE))</f>
        <v>侧围外板-左对中工位</v>
      </c>
      <c r="Q82" s="82" t="s">
        <v>399</v>
      </c>
      <c r="R82" s="155" t="s">
        <v>1109</v>
      </c>
    </row>
    <row r="83" spans="1:18" ht="24">
      <c r="A83" s="139" t="s">
        <v>1231</v>
      </c>
      <c r="B83" s="98" t="s">
        <v>1393</v>
      </c>
      <c r="C83" s="99" t="s">
        <v>1137</v>
      </c>
      <c r="D83" s="106"/>
      <c r="E83" s="100" t="s">
        <v>593</v>
      </c>
      <c r="F83" s="107" t="s">
        <v>594</v>
      </c>
      <c r="G83" s="99" t="s">
        <v>420</v>
      </c>
      <c r="H83" s="4" t="s">
        <v>1135</v>
      </c>
      <c r="I83" s="101" t="s">
        <v>1132</v>
      </c>
      <c r="J83" s="118" t="s">
        <v>455</v>
      </c>
      <c r="K83" s="106"/>
      <c r="L83" s="106"/>
      <c r="M83" s="147" t="s">
        <v>1466</v>
      </c>
      <c r="N83" s="103" t="s">
        <v>1136</v>
      </c>
      <c r="O83" s="127" t="s">
        <v>1086</v>
      </c>
      <c r="P83" s="82" t="str">
        <f>IF(O83="","",VLOOKUP(O83,[1]辅助表!$F$2:$G$200,2,FALSE))</f>
        <v>侧围外板-左对中工位</v>
      </c>
      <c r="Q83" s="82" t="s">
        <v>399</v>
      </c>
      <c r="R83" s="155" t="s">
        <v>1109</v>
      </c>
    </row>
    <row r="84" spans="1:18" ht="24">
      <c r="A84" s="139" t="s">
        <v>1232</v>
      </c>
      <c r="B84" s="98" t="s">
        <v>1393</v>
      </c>
      <c r="C84" s="99" t="s">
        <v>1130</v>
      </c>
      <c r="D84" s="106"/>
      <c r="E84" s="158" t="s">
        <v>1436</v>
      </c>
      <c r="F84" s="160" t="s">
        <v>1437</v>
      </c>
      <c r="G84" s="106" t="s">
        <v>420</v>
      </c>
      <c r="H84" s="4" t="s">
        <v>1135</v>
      </c>
      <c r="I84" s="101" t="s">
        <v>1132</v>
      </c>
      <c r="J84" s="118" t="s">
        <v>455</v>
      </c>
      <c r="K84" s="106"/>
      <c r="L84" s="106"/>
      <c r="M84" s="150" t="s">
        <v>1466</v>
      </c>
      <c r="N84" s="103" t="s">
        <v>1136</v>
      </c>
      <c r="O84" s="127" t="s">
        <v>1087</v>
      </c>
      <c r="P84" s="82" t="str">
        <f>IF(O84="","",VLOOKUP(O84,[1]辅助表!$F$2:$G$200,2,FALSE))</f>
        <v>侧围外板总成-左上件工位</v>
      </c>
      <c r="Q84" s="82" t="s">
        <v>399</v>
      </c>
      <c r="R84" s="153" t="s">
        <v>1138</v>
      </c>
    </row>
    <row r="85" spans="1:18">
      <c r="A85" s="139" t="s">
        <v>1233</v>
      </c>
      <c r="B85" s="98" t="s">
        <v>1393</v>
      </c>
      <c r="C85" s="99" t="s">
        <v>565</v>
      </c>
      <c r="D85" s="106"/>
      <c r="E85" s="158" t="s">
        <v>1438</v>
      </c>
      <c r="F85" s="160" t="s">
        <v>596</v>
      </c>
      <c r="G85" s="106" t="s">
        <v>420</v>
      </c>
      <c r="H85" s="4" t="s">
        <v>1135</v>
      </c>
      <c r="I85" s="101" t="s">
        <v>1132</v>
      </c>
      <c r="J85" s="118" t="s">
        <v>455</v>
      </c>
      <c r="K85" s="106"/>
      <c r="L85" s="106"/>
      <c r="M85" s="150" t="s">
        <v>1466</v>
      </c>
      <c r="N85" s="103" t="s">
        <v>1136</v>
      </c>
      <c r="O85" s="127" t="s">
        <v>1088</v>
      </c>
      <c r="P85" s="82" t="str">
        <f>IF(O85="","",VLOOKUP(O85,[1]辅助表!$F$2:$G$200,2,FALSE))</f>
        <v>侧围前部总成-左/右上件焊接工位</v>
      </c>
      <c r="Q85" s="82" t="s">
        <v>425</v>
      </c>
      <c r="R85" s="153" t="s">
        <v>1138</v>
      </c>
    </row>
    <row r="86" spans="1:18" ht="24">
      <c r="A86" s="139" t="s">
        <v>1234</v>
      </c>
      <c r="B86" s="98" t="s">
        <v>1393</v>
      </c>
      <c r="C86" s="99" t="s">
        <v>592</v>
      </c>
      <c r="D86" s="106"/>
      <c r="E86" s="100" t="s">
        <v>597</v>
      </c>
      <c r="F86" s="107" t="s">
        <v>598</v>
      </c>
      <c r="G86" s="106" t="s">
        <v>420</v>
      </c>
      <c r="H86" s="4" t="s">
        <v>1135</v>
      </c>
      <c r="I86" s="101" t="s">
        <v>1132</v>
      </c>
      <c r="J86" s="118" t="s">
        <v>455</v>
      </c>
      <c r="K86" s="102" t="s">
        <v>1428</v>
      </c>
      <c r="L86" s="106" t="s">
        <v>1429</v>
      </c>
      <c r="M86" s="150" t="s">
        <v>1466</v>
      </c>
      <c r="N86" s="103" t="s">
        <v>1136</v>
      </c>
      <c r="O86" s="127" t="s">
        <v>1088</v>
      </c>
      <c r="P86" s="82" t="str">
        <f>IF(O86="","",VLOOKUP(O86,[1]辅助表!$F$2:$G$200,2,FALSE))</f>
        <v>侧围前部总成-左/右上件焊接工位</v>
      </c>
      <c r="Q86" s="82" t="s">
        <v>399</v>
      </c>
      <c r="R86" s="157" t="s">
        <v>1109</v>
      </c>
    </row>
    <row r="87" spans="1:18">
      <c r="A87" s="139" t="s">
        <v>1235</v>
      </c>
      <c r="B87" s="98" t="s">
        <v>1393</v>
      </c>
      <c r="C87" s="99" t="s">
        <v>565</v>
      </c>
      <c r="D87" s="106"/>
      <c r="E87" s="100" t="s">
        <v>599</v>
      </c>
      <c r="F87" s="107" t="s">
        <v>600</v>
      </c>
      <c r="G87" s="106" t="s">
        <v>420</v>
      </c>
      <c r="H87" s="4" t="s">
        <v>1135</v>
      </c>
      <c r="I87" s="101" t="s">
        <v>1132</v>
      </c>
      <c r="J87" s="118" t="s">
        <v>455</v>
      </c>
      <c r="K87" s="106"/>
      <c r="L87" s="106"/>
      <c r="M87" s="150" t="s">
        <v>1466</v>
      </c>
      <c r="N87" s="103" t="s">
        <v>1136</v>
      </c>
      <c r="O87" s="127" t="s">
        <v>1088</v>
      </c>
      <c r="P87" s="82" t="str">
        <f>IF(O87="","",VLOOKUP(O87,[1]辅助表!$F$2:$G$200,2,FALSE))</f>
        <v>侧围前部总成-左/右上件焊接工位</v>
      </c>
      <c r="Q87" s="82" t="s">
        <v>399</v>
      </c>
      <c r="R87" s="157" t="s">
        <v>1109</v>
      </c>
    </row>
    <row r="88" spans="1:18">
      <c r="A88" s="139" t="s">
        <v>1236</v>
      </c>
      <c r="B88" s="98" t="s">
        <v>1393</v>
      </c>
      <c r="C88" s="99" t="s">
        <v>1130</v>
      </c>
      <c r="D88" s="106"/>
      <c r="E88" s="100" t="s">
        <v>590</v>
      </c>
      <c r="F88" s="107" t="s">
        <v>591</v>
      </c>
      <c r="G88" s="106" t="s">
        <v>420</v>
      </c>
      <c r="H88" s="4" t="s">
        <v>1135</v>
      </c>
      <c r="I88" s="101" t="s">
        <v>1132</v>
      </c>
      <c r="J88" s="118" t="s">
        <v>455</v>
      </c>
      <c r="K88" s="106"/>
      <c r="L88" s="106"/>
      <c r="M88" s="150" t="s">
        <v>1466</v>
      </c>
      <c r="N88" s="103" t="s">
        <v>1139</v>
      </c>
      <c r="O88" s="127" t="s">
        <v>1089</v>
      </c>
      <c r="P88" s="82" t="str">
        <f>IF(O88="","",VLOOKUP(O88,[1]辅助表!$F$2:$G$200,2,FALSE))</f>
        <v>侧围外板-左/右对中工位</v>
      </c>
      <c r="Q88" s="82" t="s">
        <v>399</v>
      </c>
      <c r="R88" s="157" t="s">
        <v>1109</v>
      </c>
    </row>
    <row r="89" spans="1:18" ht="24">
      <c r="A89" s="139" t="s">
        <v>1237</v>
      </c>
      <c r="B89" s="98" t="s">
        <v>1393</v>
      </c>
      <c r="C89" s="99" t="s">
        <v>1137</v>
      </c>
      <c r="D89" s="106"/>
      <c r="E89" s="100" t="s">
        <v>593</v>
      </c>
      <c r="F89" s="107" t="s">
        <v>594</v>
      </c>
      <c r="G89" s="106" t="s">
        <v>420</v>
      </c>
      <c r="H89" s="4" t="s">
        <v>1135</v>
      </c>
      <c r="I89" s="101" t="s">
        <v>1132</v>
      </c>
      <c r="J89" s="118" t="s">
        <v>455</v>
      </c>
      <c r="K89" s="106"/>
      <c r="L89" s="106"/>
      <c r="M89" s="150" t="s">
        <v>1466</v>
      </c>
      <c r="N89" s="103" t="s">
        <v>1139</v>
      </c>
      <c r="O89" s="127" t="s">
        <v>1089</v>
      </c>
      <c r="P89" s="82" t="str">
        <f>IF(O89="","",VLOOKUP(O89,[1]辅助表!$F$2:$G$200,2,FALSE))</f>
        <v>侧围外板-左/右对中工位</v>
      </c>
      <c r="Q89" s="82" t="s">
        <v>399</v>
      </c>
      <c r="R89" s="157" t="s">
        <v>1109</v>
      </c>
    </row>
    <row r="90" spans="1:18" ht="24">
      <c r="A90" s="139" t="s">
        <v>1238</v>
      </c>
      <c r="B90" s="98" t="s">
        <v>1393</v>
      </c>
      <c r="C90" s="99" t="s">
        <v>1130</v>
      </c>
      <c r="D90" s="106"/>
      <c r="E90" s="158" t="s">
        <v>1436</v>
      </c>
      <c r="F90" s="160" t="s">
        <v>1437</v>
      </c>
      <c r="G90" s="106" t="s">
        <v>420</v>
      </c>
      <c r="H90" s="4" t="s">
        <v>1135</v>
      </c>
      <c r="I90" s="101" t="s">
        <v>1132</v>
      </c>
      <c r="J90" s="118" t="s">
        <v>455</v>
      </c>
      <c r="K90" s="106"/>
      <c r="L90" s="106"/>
      <c r="M90" s="150" t="s">
        <v>1466</v>
      </c>
      <c r="N90" s="103" t="s">
        <v>1139</v>
      </c>
      <c r="O90" s="127" t="s">
        <v>1090</v>
      </c>
      <c r="P90" s="82" t="str">
        <f>IF(O90="","",VLOOKUP(O90,[1]辅助表!$F$2:$G$200,2,FALSE))</f>
        <v>侧围外板总成-左/右上件工位</v>
      </c>
      <c r="Q90" s="82" t="s">
        <v>425</v>
      </c>
      <c r="R90" s="153" t="s">
        <v>1138</v>
      </c>
    </row>
    <row r="91" spans="1:18">
      <c r="A91" s="139" t="s">
        <v>1239</v>
      </c>
      <c r="B91" s="98" t="s">
        <v>1393</v>
      </c>
      <c r="C91" s="99" t="s">
        <v>565</v>
      </c>
      <c r="D91" s="106"/>
      <c r="E91" s="158" t="s">
        <v>595</v>
      </c>
      <c r="F91" s="160" t="s">
        <v>596</v>
      </c>
      <c r="G91" s="106" t="s">
        <v>420</v>
      </c>
      <c r="H91" s="4" t="s">
        <v>1135</v>
      </c>
      <c r="I91" s="101" t="s">
        <v>1132</v>
      </c>
      <c r="J91" s="118" t="s">
        <v>455</v>
      </c>
      <c r="K91" s="106"/>
      <c r="L91" s="106"/>
      <c r="M91" s="150" t="s">
        <v>1466</v>
      </c>
      <c r="N91" s="103" t="s">
        <v>1139</v>
      </c>
      <c r="O91" s="127" t="s">
        <v>1090</v>
      </c>
      <c r="P91" s="82" t="str">
        <f>IF(O91="","",VLOOKUP(O91,[1]辅助表!$F$2:$G$200,2,FALSE))</f>
        <v>侧围外板总成-左/右上件工位</v>
      </c>
      <c r="Q91" s="82" t="s">
        <v>425</v>
      </c>
      <c r="R91" s="153" t="s">
        <v>1138</v>
      </c>
    </row>
    <row r="92" spans="1:18" ht="24">
      <c r="A92" s="139" t="s">
        <v>1240</v>
      </c>
      <c r="B92" s="98" t="s">
        <v>1393</v>
      </c>
      <c r="C92" s="99" t="s">
        <v>592</v>
      </c>
      <c r="D92" s="106"/>
      <c r="E92" s="100" t="s">
        <v>597</v>
      </c>
      <c r="F92" s="107" t="s">
        <v>598</v>
      </c>
      <c r="G92" s="106" t="s">
        <v>420</v>
      </c>
      <c r="H92" s="4" t="s">
        <v>1135</v>
      </c>
      <c r="I92" s="101" t="s">
        <v>1132</v>
      </c>
      <c r="J92" s="118" t="s">
        <v>455</v>
      </c>
      <c r="K92" s="102" t="s">
        <v>1428</v>
      </c>
      <c r="L92" s="106" t="s">
        <v>1429</v>
      </c>
      <c r="M92" s="150" t="s">
        <v>1466</v>
      </c>
      <c r="N92" s="103" t="s">
        <v>1139</v>
      </c>
      <c r="O92" s="127" t="s">
        <v>1091</v>
      </c>
      <c r="P92" s="82" t="str">
        <f>IF(O92="","",VLOOKUP(O92,[1]辅助表!$F$2:$G$200,2,FALSE))</f>
        <v>侧围前部总成-左/右上件焊接工位</v>
      </c>
      <c r="Q92" s="82" t="s">
        <v>399</v>
      </c>
      <c r="R92" s="157" t="s">
        <v>1109</v>
      </c>
    </row>
    <row r="93" spans="1:18">
      <c r="A93" s="139" t="s">
        <v>1241</v>
      </c>
      <c r="B93" s="98" t="s">
        <v>1393</v>
      </c>
      <c r="C93" s="99" t="s">
        <v>565</v>
      </c>
      <c r="D93" s="106"/>
      <c r="E93" s="100" t="s">
        <v>599</v>
      </c>
      <c r="F93" s="107" t="s">
        <v>600</v>
      </c>
      <c r="G93" s="106" t="s">
        <v>420</v>
      </c>
      <c r="H93" s="4" t="s">
        <v>1135</v>
      </c>
      <c r="I93" s="101" t="s">
        <v>1132</v>
      </c>
      <c r="J93" s="118" t="s">
        <v>455</v>
      </c>
      <c r="K93" s="106"/>
      <c r="L93" s="106"/>
      <c r="M93" s="150" t="s">
        <v>1466</v>
      </c>
      <c r="N93" s="103" t="s">
        <v>1139</v>
      </c>
      <c r="O93" s="127" t="s">
        <v>1091</v>
      </c>
      <c r="P93" s="82" t="str">
        <f>IF(O93="","",VLOOKUP(O93,[1]辅助表!$F$2:$G$200,2,FALSE))</f>
        <v>侧围前部总成-左/右上件焊接工位</v>
      </c>
      <c r="Q93" s="82" t="s">
        <v>399</v>
      </c>
      <c r="R93" s="157" t="s">
        <v>1109</v>
      </c>
    </row>
    <row r="94" spans="1:18" ht="24">
      <c r="A94" s="139" t="s">
        <v>1242</v>
      </c>
      <c r="B94" s="98" t="s">
        <v>1393</v>
      </c>
      <c r="C94" s="99" t="s">
        <v>592</v>
      </c>
      <c r="D94" s="106"/>
      <c r="E94" s="100" t="s">
        <v>601</v>
      </c>
      <c r="F94" s="107" t="s">
        <v>602</v>
      </c>
      <c r="G94" s="106" t="s">
        <v>420</v>
      </c>
      <c r="H94" s="4" t="s">
        <v>1140</v>
      </c>
      <c r="I94" s="101" t="s">
        <v>1132</v>
      </c>
      <c r="J94" s="118" t="s">
        <v>455</v>
      </c>
      <c r="K94" s="106" t="s">
        <v>461</v>
      </c>
      <c r="L94" s="106" t="s">
        <v>1429</v>
      </c>
      <c r="M94" s="150" t="s">
        <v>1466</v>
      </c>
      <c r="N94" s="103" t="s">
        <v>1141</v>
      </c>
      <c r="O94" s="127" t="s">
        <v>1092</v>
      </c>
      <c r="P94" s="82" t="str">
        <f>IF(O94="","",VLOOKUP(O94,[1]辅助表!$F$2:$G$200,2,FALSE))</f>
        <v>前防撞梁安装组件、翼子板支架人工焊接</v>
      </c>
      <c r="Q94" s="82" t="s">
        <v>399</v>
      </c>
      <c r="R94" s="157" t="s">
        <v>1109</v>
      </c>
    </row>
    <row r="95" spans="1:18" ht="24">
      <c r="A95" s="139" t="s">
        <v>1243</v>
      </c>
      <c r="B95" s="98" t="s">
        <v>1393</v>
      </c>
      <c r="C95" s="99" t="s">
        <v>592</v>
      </c>
      <c r="D95" s="106"/>
      <c r="E95" s="100" t="s">
        <v>603</v>
      </c>
      <c r="F95" s="107" t="s">
        <v>604</v>
      </c>
      <c r="G95" s="106" t="s">
        <v>420</v>
      </c>
      <c r="H95" s="4" t="s">
        <v>1140</v>
      </c>
      <c r="I95" s="101" t="s">
        <v>1132</v>
      </c>
      <c r="J95" s="118" t="s">
        <v>605</v>
      </c>
      <c r="K95" s="106"/>
      <c r="L95" s="106"/>
      <c r="M95" s="150" t="s">
        <v>1466</v>
      </c>
      <c r="N95" s="103" t="s">
        <v>1141</v>
      </c>
      <c r="O95" s="127" t="s">
        <v>1092</v>
      </c>
      <c r="P95" s="82" t="str">
        <f>IF(O95="","",VLOOKUP(O95,[1]辅助表!$F$2:$G$200,2,FALSE))</f>
        <v>前防撞梁安装组件、翼子板支架人工焊接</v>
      </c>
      <c r="Q95" s="82" t="s">
        <v>399</v>
      </c>
      <c r="R95" s="157" t="s">
        <v>1109</v>
      </c>
    </row>
    <row r="96" spans="1:18" ht="60">
      <c r="A96" s="139" t="s">
        <v>1244</v>
      </c>
      <c r="B96" s="98" t="s">
        <v>1393</v>
      </c>
      <c r="C96" s="99" t="s">
        <v>592</v>
      </c>
      <c r="D96" s="106"/>
      <c r="E96" s="100" t="s">
        <v>606</v>
      </c>
      <c r="F96" s="107" t="s">
        <v>607</v>
      </c>
      <c r="G96" s="106" t="s">
        <v>420</v>
      </c>
      <c r="H96" s="4" t="s">
        <v>1140</v>
      </c>
      <c r="I96" s="101" t="s">
        <v>1132</v>
      </c>
      <c r="J96" s="118" t="s">
        <v>455</v>
      </c>
      <c r="K96" s="106"/>
      <c r="L96" s="106"/>
      <c r="M96" s="150" t="s">
        <v>1466</v>
      </c>
      <c r="N96" s="103" t="s">
        <v>1141</v>
      </c>
      <c r="O96" s="127" t="s">
        <v>1093</v>
      </c>
      <c r="P96" s="82" t="str">
        <f>IF(O96="","",VLOOKUP(O96,[1]辅助表!$F$2:$G$200,2,FALSE))</f>
        <v>侧围及前后横梁预拼工位</v>
      </c>
      <c r="Q96" s="82" t="s">
        <v>399</v>
      </c>
      <c r="R96" s="157" t="s">
        <v>1109</v>
      </c>
    </row>
    <row r="97" spans="1:18" ht="24">
      <c r="A97" s="139" t="s">
        <v>1245</v>
      </c>
      <c r="B97" s="98" t="s">
        <v>1393</v>
      </c>
      <c r="C97" s="99" t="s">
        <v>592</v>
      </c>
      <c r="D97" s="106"/>
      <c r="E97" s="100" t="s">
        <v>608</v>
      </c>
      <c r="F97" s="107" t="s">
        <v>609</v>
      </c>
      <c r="G97" s="106" t="s">
        <v>420</v>
      </c>
      <c r="H97" s="4" t="s">
        <v>1140</v>
      </c>
      <c r="I97" s="101" t="s">
        <v>1132</v>
      </c>
      <c r="J97" s="118" t="s">
        <v>456</v>
      </c>
      <c r="K97" s="106" t="s">
        <v>462</v>
      </c>
      <c r="L97" s="106" t="s">
        <v>1429</v>
      </c>
      <c r="M97" s="150" t="s">
        <v>1466</v>
      </c>
      <c r="N97" s="103" t="s">
        <v>1141</v>
      </c>
      <c r="O97" s="127" t="s">
        <v>1093</v>
      </c>
      <c r="P97" s="82" t="str">
        <f>IF(O97="","",VLOOKUP(O97,[1]辅助表!$F$2:$G$200,2,FALSE))</f>
        <v>侧围及前后横梁预拼工位</v>
      </c>
      <c r="Q97" s="82" t="s">
        <v>399</v>
      </c>
      <c r="R97" s="157" t="s">
        <v>1109</v>
      </c>
    </row>
    <row r="98" spans="1:18">
      <c r="A98" s="139" t="s">
        <v>1246</v>
      </c>
      <c r="B98" s="98" t="s">
        <v>1393</v>
      </c>
      <c r="C98" s="99" t="s">
        <v>592</v>
      </c>
      <c r="D98" s="106"/>
      <c r="E98" s="100" t="s">
        <v>610</v>
      </c>
      <c r="F98" s="107" t="s">
        <v>611</v>
      </c>
      <c r="G98" s="106" t="s">
        <v>420</v>
      </c>
      <c r="H98" s="4" t="s">
        <v>1140</v>
      </c>
      <c r="I98" s="101" t="s">
        <v>1132</v>
      </c>
      <c r="J98" s="118" t="s">
        <v>455</v>
      </c>
      <c r="K98" s="106"/>
      <c r="L98" s="106"/>
      <c r="M98" s="150" t="s">
        <v>1466</v>
      </c>
      <c r="N98" s="103" t="s">
        <v>1141</v>
      </c>
      <c r="O98" s="127" t="s">
        <v>1093</v>
      </c>
      <c r="P98" s="82" t="str">
        <f>IF(O98="","",VLOOKUP(O98,[1]辅助表!$F$2:$G$200,2,FALSE))</f>
        <v>侧围及前后横梁预拼工位</v>
      </c>
      <c r="Q98" s="82" t="s">
        <v>399</v>
      </c>
      <c r="R98" s="157" t="s">
        <v>1109</v>
      </c>
    </row>
    <row r="99" spans="1:18">
      <c r="A99" s="139" t="s">
        <v>1247</v>
      </c>
      <c r="B99" s="98" t="s">
        <v>1393</v>
      </c>
      <c r="C99" s="99" t="s">
        <v>565</v>
      </c>
      <c r="D99" s="106"/>
      <c r="E99" s="100" t="s">
        <v>599</v>
      </c>
      <c r="F99" s="107" t="s">
        <v>600</v>
      </c>
      <c r="G99" s="106" t="s">
        <v>420</v>
      </c>
      <c r="H99" s="4" t="s">
        <v>1140</v>
      </c>
      <c r="I99" s="101" t="s">
        <v>1132</v>
      </c>
      <c r="J99" s="118" t="s">
        <v>455</v>
      </c>
      <c r="K99" s="106"/>
      <c r="L99" s="106"/>
      <c r="M99" s="150" t="s">
        <v>1466</v>
      </c>
      <c r="N99" s="103" t="s">
        <v>1141</v>
      </c>
      <c r="O99" s="127" t="s">
        <v>1093</v>
      </c>
      <c r="P99" s="82" t="str">
        <f>IF(O99="","",VLOOKUP(O99,[1]辅助表!$F$2:$G$200,2,FALSE))</f>
        <v>侧围及前后横梁预拼工位</v>
      </c>
      <c r="Q99" s="82" t="s">
        <v>399</v>
      </c>
      <c r="R99" s="157" t="s">
        <v>1109</v>
      </c>
    </row>
    <row r="100" spans="1:18" ht="48">
      <c r="A100" s="139" t="s">
        <v>1248</v>
      </c>
      <c r="B100" s="98" t="s">
        <v>1393</v>
      </c>
      <c r="C100" s="99" t="s">
        <v>592</v>
      </c>
      <c r="D100" s="106"/>
      <c r="E100" s="100" t="s">
        <v>612</v>
      </c>
      <c r="F100" s="107" t="s">
        <v>613</v>
      </c>
      <c r="G100" s="106" t="s">
        <v>420</v>
      </c>
      <c r="H100" s="4" t="s">
        <v>1140</v>
      </c>
      <c r="I100" s="101" t="s">
        <v>1132</v>
      </c>
      <c r="J100" s="118" t="s">
        <v>464</v>
      </c>
      <c r="K100" s="106"/>
      <c r="L100" s="106"/>
      <c r="M100" s="150" t="s">
        <v>1466</v>
      </c>
      <c r="N100" s="103" t="s">
        <v>1141</v>
      </c>
      <c r="O100" s="127" t="s">
        <v>1093</v>
      </c>
      <c r="P100" s="82" t="str">
        <f>IF(O100="","",VLOOKUP(O100,[1]辅助表!$F$2:$G$200,2,FALSE))</f>
        <v>侧围及前后横梁预拼工位</v>
      </c>
      <c r="Q100" s="82" t="s">
        <v>399</v>
      </c>
      <c r="R100" s="157" t="s">
        <v>1109</v>
      </c>
    </row>
    <row r="101" spans="1:18">
      <c r="A101" s="139" t="s">
        <v>1249</v>
      </c>
      <c r="B101" s="98" t="s">
        <v>1393</v>
      </c>
      <c r="C101" s="99" t="s">
        <v>592</v>
      </c>
      <c r="D101" s="106"/>
      <c r="E101" s="100" t="s">
        <v>1142</v>
      </c>
      <c r="F101" s="107" t="s">
        <v>614</v>
      </c>
      <c r="G101" s="106" t="s">
        <v>420</v>
      </c>
      <c r="H101" s="4" t="s">
        <v>1140</v>
      </c>
      <c r="I101" s="101" t="s">
        <v>1132</v>
      </c>
      <c r="J101" s="118" t="s">
        <v>455</v>
      </c>
      <c r="K101" s="106"/>
      <c r="L101" s="106"/>
      <c r="M101" s="150" t="s">
        <v>1466</v>
      </c>
      <c r="N101" s="103" t="s">
        <v>1141</v>
      </c>
      <c r="O101" s="127" t="s">
        <v>1094</v>
      </c>
      <c r="P101" s="82" t="str">
        <f>IF(O101="","",VLOOKUP(O101,[1]辅助表!$F$2:$G$200,2,FALSE))</f>
        <v>总拼工位</v>
      </c>
      <c r="Q101" s="82" t="s">
        <v>399</v>
      </c>
      <c r="R101" s="157" t="s">
        <v>1109</v>
      </c>
    </row>
    <row r="102" spans="1:18" ht="24">
      <c r="A102" s="139" t="s">
        <v>1250</v>
      </c>
      <c r="B102" s="98" t="s">
        <v>1393</v>
      </c>
      <c r="C102" s="99" t="s">
        <v>592</v>
      </c>
      <c r="D102" s="106"/>
      <c r="E102" s="100" t="s">
        <v>615</v>
      </c>
      <c r="F102" s="107" t="s">
        <v>616</v>
      </c>
      <c r="G102" s="106" t="s">
        <v>420</v>
      </c>
      <c r="H102" s="4" t="s">
        <v>1140</v>
      </c>
      <c r="I102" s="101" t="s">
        <v>1132</v>
      </c>
      <c r="J102" s="118" t="s">
        <v>456</v>
      </c>
      <c r="K102" s="106" t="s">
        <v>463</v>
      </c>
      <c r="L102" s="106" t="s">
        <v>1429</v>
      </c>
      <c r="M102" s="150" t="s">
        <v>1466</v>
      </c>
      <c r="N102" s="103" t="s">
        <v>1141</v>
      </c>
      <c r="O102" s="127" t="s">
        <v>1094</v>
      </c>
      <c r="P102" s="82" t="str">
        <f>IF(O102="","",VLOOKUP(O102,[1]辅助表!$F$2:$G$200,2,FALSE))</f>
        <v>总拼工位</v>
      </c>
      <c r="Q102" s="82" t="s">
        <v>425</v>
      </c>
      <c r="R102" s="157" t="s">
        <v>1109</v>
      </c>
    </row>
    <row r="103" spans="1:18" ht="24">
      <c r="A103" s="139" t="s">
        <v>1251</v>
      </c>
      <c r="B103" s="98" t="s">
        <v>1393</v>
      </c>
      <c r="C103" s="99" t="s">
        <v>592</v>
      </c>
      <c r="D103" s="106"/>
      <c r="E103" s="100" t="s">
        <v>617</v>
      </c>
      <c r="F103" s="107" t="s">
        <v>618</v>
      </c>
      <c r="G103" s="106" t="s">
        <v>420</v>
      </c>
      <c r="H103" s="4" t="s">
        <v>1140</v>
      </c>
      <c r="I103" s="101" t="s">
        <v>1132</v>
      </c>
      <c r="J103" s="118" t="s">
        <v>455</v>
      </c>
      <c r="K103" s="106"/>
      <c r="L103" s="106"/>
      <c r="M103" s="150" t="s">
        <v>1466</v>
      </c>
      <c r="N103" s="103" t="s">
        <v>1141</v>
      </c>
      <c r="O103" s="127" t="s">
        <v>1094</v>
      </c>
      <c r="P103" s="82" t="str">
        <f>IF(O103="","",VLOOKUP(O103,[1]辅助表!$F$2:$G$200,2,FALSE))</f>
        <v>总拼工位</v>
      </c>
      <c r="Q103" s="82" t="s">
        <v>399</v>
      </c>
      <c r="R103" s="157" t="s">
        <v>1109</v>
      </c>
    </row>
    <row r="104" spans="1:18" ht="24">
      <c r="A104" s="139" t="s">
        <v>1252</v>
      </c>
      <c r="B104" s="98" t="s">
        <v>1393</v>
      </c>
      <c r="C104" s="99" t="s">
        <v>592</v>
      </c>
      <c r="D104" s="106"/>
      <c r="E104" s="100" t="s">
        <v>619</v>
      </c>
      <c r="F104" s="107" t="s">
        <v>620</v>
      </c>
      <c r="G104" s="106" t="s">
        <v>420</v>
      </c>
      <c r="H104" s="4" t="s">
        <v>1140</v>
      </c>
      <c r="I104" s="101" t="s">
        <v>1132</v>
      </c>
      <c r="J104" s="118" t="s">
        <v>456</v>
      </c>
      <c r="K104" s="106" t="s">
        <v>461</v>
      </c>
      <c r="L104" s="106" t="s">
        <v>1429</v>
      </c>
      <c r="M104" s="150" t="s">
        <v>1466</v>
      </c>
      <c r="N104" s="103" t="s">
        <v>1141</v>
      </c>
      <c r="O104" s="127" t="s">
        <v>1094</v>
      </c>
      <c r="P104" s="82" t="str">
        <f>IF(O104="","",VLOOKUP(O104,[1]辅助表!$F$2:$G$200,2,FALSE))</f>
        <v>总拼工位</v>
      </c>
      <c r="Q104" s="82" t="s">
        <v>399</v>
      </c>
      <c r="R104" s="157" t="s">
        <v>1109</v>
      </c>
    </row>
    <row r="105" spans="1:18">
      <c r="A105" s="139" t="s">
        <v>1253</v>
      </c>
      <c r="B105" s="98" t="s">
        <v>1393</v>
      </c>
      <c r="C105" s="99" t="s">
        <v>592</v>
      </c>
      <c r="D105" s="106"/>
      <c r="E105" s="100" t="s">
        <v>621</v>
      </c>
      <c r="F105" s="107" t="s">
        <v>622</v>
      </c>
      <c r="G105" s="106" t="s">
        <v>420</v>
      </c>
      <c r="H105" s="4" t="s">
        <v>1140</v>
      </c>
      <c r="I105" s="101" t="s">
        <v>1132</v>
      </c>
      <c r="J105" s="118" t="s">
        <v>455</v>
      </c>
      <c r="K105" s="106"/>
      <c r="L105" s="106"/>
      <c r="M105" s="150" t="s">
        <v>1466</v>
      </c>
      <c r="N105" s="103" t="s">
        <v>1141</v>
      </c>
      <c r="O105" s="127" t="s">
        <v>1094</v>
      </c>
      <c r="P105" s="82" t="str">
        <f>IF(O105="","",VLOOKUP(O105,[1]辅助表!$F$2:$G$200,2,FALSE))</f>
        <v>总拼工位</v>
      </c>
      <c r="Q105" s="82" t="s">
        <v>399</v>
      </c>
      <c r="R105" s="157" t="s">
        <v>1109</v>
      </c>
    </row>
    <row r="106" spans="1:18" ht="24">
      <c r="A106" s="139" t="s">
        <v>1254</v>
      </c>
      <c r="B106" s="98" t="s">
        <v>1393</v>
      </c>
      <c r="C106" s="99" t="s">
        <v>592</v>
      </c>
      <c r="D106" s="106"/>
      <c r="E106" s="100" t="s">
        <v>623</v>
      </c>
      <c r="F106" s="107" t="s">
        <v>624</v>
      </c>
      <c r="G106" s="106" t="s">
        <v>420</v>
      </c>
      <c r="H106" s="4" t="s">
        <v>1140</v>
      </c>
      <c r="I106" s="101" t="s">
        <v>1132</v>
      </c>
      <c r="J106" s="118" t="s">
        <v>455</v>
      </c>
      <c r="K106" s="106"/>
      <c r="L106" s="106"/>
      <c r="M106" s="150" t="s">
        <v>1466</v>
      </c>
      <c r="N106" s="103" t="s">
        <v>1141</v>
      </c>
      <c r="O106" s="127" t="s">
        <v>1095</v>
      </c>
      <c r="P106" s="82" t="str">
        <f>IF(O106="","",VLOOKUP(O106,[1]辅助表!$F$2:$G$200,2,FALSE))</f>
        <v>车身补焊工位</v>
      </c>
      <c r="Q106" s="82" t="s">
        <v>399</v>
      </c>
      <c r="R106" s="157" t="s">
        <v>1109</v>
      </c>
    </row>
    <row r="107" spans="1:18">
      <c r="A107" s="139" t="s">
        <v>1255</v>
      </c>
      <c r="B107" s="98" t="s">
        <v>1393</v>
      </c>
      <c r="C107" s="99" t="s">
        <v>592</v>
      </c>
      <c r="D107" s="106"/>
      <c r="E107" s="100" t="s">
        <v>625</v>
      </c>
      <c r="F107" s="107" t="s">
        <v>626</v>
      </c>
      <c r="G107" s="106" t="s">
        <v>420</v>
      </c>
      <c r="H107" s="4" t="s">
        <v>1140</v>
      </c>
      <c r="I107" s="101" t="s">
        <v>1132</v>
      </c>
      <c r="J107" s="118" t="s">
        <v>455</v>
      </c>
      <c r="K107" s="106"/>
      <c r="L107" s="106"/>
      <c r="M107" s="150" t="s">
        <v>1466</v>
      </c>
      <c r="N107" s="103" t="s">
        <v>1141</v>
      </c>
      <c r="O107" s="127" t="s">
        <v>1096</v>
      </c>
      <c r="P107" s="82" t="str">
        <f>IF(O107="","",VLOOKUP(O107,[1]辅助表!$F$2:$G$200,2,FALSE))</f>
        <v>车身补焊工位</v>
      </c>
      <c r="Q107" s="82" t="s">
        <v>399</v>
      </c>
      <c r="R107" s="157" t="s">
        <v>1109</v>
      </c>
    </row>
    <row r="108" spans="1:18">
      <c r="A108" s="139" t="s">
        <v>1256</v>
      </c>
      <c r="B108" s="98" t="s">
        <v>1393</v>
      </c>
      <c r="C108" s="99" t="s">
        <v>592</v>
      </c>
      <c r="D108" s="106"/>
      <c r="E108" s="100" t="s">
        <v>627</v>
      </c>
      <c r="F108" s="107" t="s">
        <v>626</v>
      </c>
      <c r="G108" s="106" t="s">
        <v>420</v>
      </c>
      <c r="H108" s="4" t="s">
        <v>1140</v>
      </c>
      <c r="I108" s="101" t="s">
        <v>1132</v>
      </c>
      <c r="J108" s="118" t="s">
        <v>455</v>
      </c>
      <c r="K108" s="106"/>
      <c r="L108" s="106"/>
      <c r="M108" s="150" t="s">
        <v>1466</v>
      </c>
      <c r="N108" s="103" t="s">
        <v>1141</v>
      </c>
      <c r="O108" s="127" t="s">
        <v>1097</v>
      </c>
      <c r="P108" s="82" t="str">
        <f>IF(O108="","",VLOOKUP(O108,[1]辅助表!$F$2:$G$200,2,FALSE))</f>
        <v>顶盖安装工位</v>
      </c>
      <c r="Q108" s="82" t="s">
        <v>399</v>
      </c>
      <c r="R108" s="157" t="s">
        <v>1109</v>
      </c>
    </row>
    <row r="109" spans="1:18" ht="24">
      <c r="A109" s="139" t="s">
        <v>1257</v>
      </c>
      <c r="B109" s="98" t="s">
        <v>1393</v>
      </c>
      <c r="C109" s="99" t="s">
        <v>592</v>
      </c>
      <c r="D109" s="106"/>
      <c r="E109" s="100" t="s">
        <v>1154</v>
      </c>
      <c r="F109" s="107" t="s">
        <v>628</v>
      </c>
      <c r="G109" s="106" t="s">
        <v>420</v>
      </c>
      <c r="H109" s="4" t="s">
        <v>1140</v>
      </c>
      <c r="I109" s="101" t="s">
        <v>1132</v>
      </c>
      <c r="J109" s="118" t="s">
        <v>464</v>
      </c>
      <c r="K109" s="106"/>
      <c r="L109" s="106"/>
      <c r="M109" s="150" t="s">
        <v>1466</v>
      </c>
      <c r="N109" s="103" t="s">
        <v>1143</v>
      </c>
      <c r="O109" s="127" t="s">
        <v>1098</v>
      </c>
      <c r="P109" s="82" t="str">
        <f>IF(O109="","",VLOOKUP(O109,[1]辅助表!$F$2:$G$200,2,FALSE))</f>
        <v>侧围连接板上件工位</v>
      </c>
      <c r="Q109" s="82" t="s">
        <v>399</v>
      </c>
      <c r="R109" s="157" t="s">
        <v>1109</v>
      </c>
    </row>
    <row r="110" spans="1:18">
      <c r="A110" s="139" t="s">
        <v>1258</v>
      </c>
      <c r="B110" s="98" t="s">
        <v>1393</v>
      </c>
      <c r="C110" s="99" t="s">
        <v>592</v>
      </c>
      <c r="D110" s="106"/>
      <c r="E110" s="100" t="s">
        <v>629</v>
      </c>
      <c r="F110" s="107" t="s">
        <v>630</v>
      </c>
      <c r="G110" s="106" t="s">
        <v>420</v>
      </c>
      <c r="H110" s="4" t="s">
        <v>1140</v>
      </c>
      <c r="I110" s="101" t="s">
        <v>1132</v>
      </c>
      <c r="J110" s="118" t="s">
        <v>455</v>
      </c>
      <c r="K110" s="106"/>
      <c r="L110" s="106"/>
      <c r="M110" s="150" t="s">
        <v>1466</v>
      </c>
      <c r="N110" s="103" t="s">
        <v>1143</v>
      </c>
      <c r="O110" s="127" t="s">
        <v>1098</v>
      </c>
      <c r="P110" s="82" t="str">
        <f>IF(O110="","",VLOOKUP(O110,[1]辅助表!$F$2:$G$200,2,FALSE))</f>
        <v>侧围连接板上件工位</v>
      </c>
      <c r="Q110" s="82" t="s">
        <v>399</v>
      </c>
      <c r="R110" s="157" t="s">
        <v>1109</v>
      </c>
    </row>
    <row r="111" spans="1:18" ht="24">
      <c r="A111" s="139" t="s">
        <v>1259</v>
      </c>
      <c r="B111" s="98" t="s">
        <v>1393</v>
      </c>
      <c r="C111" s="99" t="s">
        <v>592</v>
      </c>
      <c r="D111" s="100"/>
      <c r="E111" s="100" t="s">
        <v>479</v>
      </c>
      <c r="F111" s="100" t="s">
        <v>631</v>
      </c>
      <c r="G111" s="101" t="s">
        <v>420</v>
      </c>
      <c r="H111" s="4" t="s">
        <v>1140</v>
      </c>
      <c r="I111" s="101" t="s">
        <v>1132</v>
      </c>
      <c r="J111" s="102" t="s">
        <v>455</v>
      </c>
      <c r="K111" s="102"/>
      <c r="L111" s="101"/>
      <c r="M111" s="147" t="s">
        <v>1466</v>
      </c>
      <c r="N111" s="103" t="s">
        <v>1143</v>
      </c>
      <c r="O111" s="127" t="s">
        <v>1098</v>
      </c>
      <c r="P111" s="82" t="str">
        <f>IF(O111="","",VLOOKUP(O111,[1]辅助表!$F$2:$G$200,2,FALSE))</f>
        <v>侧围连接板上件工位</v>
      </c>
      <c r="Q111" s="82" t="s">
        <v>425</v>
      </c>
      <c r="R111" s="157" t="s">
        <v>1109</v>
      </c>
    </row>
    <row r="112" spans="1:18" ht="24">
      <c r="A112" s="139" t="s">
        <v>1260</v>
      </c>
      <c r="B112" s="98" t="s">
        <v>1393</v>
      </c>
      <c r="C112" s="99" t="s">
        <v>592</v>
      </c>
      <c r="D112" s="100"/>
      <c r="E112" s="100" t="s">
        <v>632</v>
      </c>
      <c r="F112" s="100" t="s">
        <v>633</v>
      </c>
      <c r="G112" s="101" t="s">
        <v>420</v>
      </c>
      <c r="H112" s="4" t="s">
        <v>1140</v>
      </c>
      <c r="I112" s="101" t="s">
        <v>1132</v>
      </c>
      <c r="J112" s="102" t="s">
        <v>455</v>
      </c>
      <c r="K112" s="102" t="s">
        <v>461</v>
      </c>
      <c r="L112" s="101" t="s">
        <v>1429</v>
      </c>
      <c r="M112" s="147" t="s">
        <v>1466</v>
      </c>
      <c r="N112" s="103" t="s">
        <v>1143</v>
      </c>
      <c r="O112" s="82" t="s">
        <v>1099</v>
      </c>
      <c r="P112" s="82" t="str">
        <f>IF(O112="","",VLOOKUP(O112,[1]辅助表!$F$2:$G$200,2,FALSE))</f>
        <v>机器人补焊工位</v>
      </c>
      <c r="Q112" s="82" t="s">
        <v>399</v>
      </c>
      <c r="R112" s="157" t="s">
        <v>1109</v>
      </c>
    </row>
    <row r="113" spans="1:18">
      <c r="A113" s="139" t="s">
        <v>1261</v>
      </c>
      <c r="B113" s="98" t="s">
        <v>1393</v>
      </c>
      <c r="C113" s="99" t="s">
        <v>592</v>
      </c>
      <c r="D113" s="100"/>
      <c r="E113" s="100" t="s">
        <v>634</v>
      </c>
      <c r="F113" s="100" t="s">
        <v>1156</v>
      </c>
      <c r="G113" s="101" t="s">
        <v>420</v>
      </c>
      <c r="H113" s="4" t="s">
        <v>1140</v>
      </c>
      <c r="I113" s="101" t="s">
        <v>1132</v>
      </c>
      <c r="J113" s="102" t="s">
        <v>455</v>
      </c>
      <c r="K113" s="102"/>
      <c r="L113" s="101"/>
      <c r="M113" s="147" t="s">
        <v>1466</v>
      </c>
      <c r="N113" s="103" t="s">
        <v>1143</v>
      </c>
      <c r="O113" s="82" t="s">
        <v>1100</v>
      </c>
      <c r="P113" s="82" t="str">
        <f>IF(O113="","",VLOOKUP(O113,[1]辅助表!$F$2:$G$200,2,FALSE))</f>
        <v>机器人补焊工位</v>
      </c>
      <c r="Q113" s="82" t="s">
        <v>399</v>
      </c>
      <c r="R113" s="157" t="s">
        <v>1109</v>
      </c>
    </row>
    <row r="114" spans="1:18" ht="24">
      <c r="A114" s="139" t="s">
        <v>1262</v>
      </c>
      <c r="B114" s="98" t="s">
        <v>1393</v>
      </c>
      <c r="C114" s="99" t="s">
        <v>592</v>
      </c>
      <c r="D114" s="100"/>
      <c r="E114" s="100" t="s">
        <v>1155</v>
      </c>
      <c r="F114" s="100" t="s">
        <v>635</v>
      </c>
      <c r="G114" s="101" t="s">
        <v>420</v>
      </c>
      <c r="H114" s="4" t="s">
        <v>1140</v>
      </c>
      <c r="I114" s="101" t="s">
        <v>1132</v>
      </c>
      <c r="J114" s="102" t="s">
        <v>465</v>
      </c>
      <c r="K114" s="102"/>
      <c r="L114" s="101"/>
      <c r="M114" s="147" t="s">
        <v>1466</v>
      </c>
      <c r="N114" s="103" t="s">
        <v>1143</v>
      </c>
      <c r="O114" s="82" t="s">
        <v>1101</v>
      </c>
      <c r="P114" s="82" t="str">
        <f>IF(O114="","",VLOOKUP(O114,[1]辅助表!$F$2:$G$200,2,FALSE))</f>
        <v>铰链安装工位</v>
      </c>
      <c r="Q114" s="82" t="s">
        <v>399</v>
      </c>
      <c r="R114" s="157" t="s">
        <v>1109</v>
      </c>
    </row>
    <row r="115" spans="1:18" ht="24">
      <c r="A115" s="139" t="s">
        <v>1263</v>
      </c>
      <c r="B115" s="98" t="s">
        <v>1393</v>
      </c>
      <c r="C115" s="99" t="s">
        <v>592</v>
      </c>
      <c r="D115" s="100"/>
      <c r="E115" s="100" t="s">
        <v>636</v>
      </c>
      <c r="F115" s="100" t="s">
        <v>637</v>
      </c>
      <c r="G115" s="101" t="s">
        <v>420</v>
      </c>
      <c r="H115" s="4" t="s">
        <v>1140</v>
      </c>
      <c r="I115" s="101" t="s">
        <v>1132</v>
      </c>
      <c r="J115" s="102" t="s">
        <v>464</v>
      </c>
      <c r="K115" s="102"/>
      <c r="L115" s="101"/>
      <c r="M115" s="147" t="s">
        <v>1466</v>
      </c>
      <c r="N115" s="103" t="s">
        <v>1143</v>
      </c>
      <c r="O115" s="82" t="s">
        <v>1101</v>
      </c>
      <c r="P115" s="82" t="str">
        <f>IF(O115="","",VLOOKUP(O115,[1]辅助表!$F$2:$G$200,2,FALSE))</f>
        <v>铰链安装工位</v>
      </c>
      <c r="Q115" s="82" t="s">
        <v>399</v>
      </c>
      <c r="R115" s="157" t="s">
        <v>1109</v>
      </c>
    </row>
    <row r="116" spans="1:18" ht="24">
      <c r="A116" s="139" t="s">
        <v>1264</v>
      </c>
      <c r="B116" s="98" t="s">
        <v>1393</v>
      </c>
      <c r="C116" s="99" t="s">
        <v>638</v>
      </c>
      <c r="D116" s="100"/>
      <c r="E116" s="158" t="s">
        <v>639</v>
      </c>
      <c r="F116" s="158" t="s">
        <v>640</v>
      </c>
      <c r="G116" s="101" t="s">
        <v>641</v>
      </c>
      <c r="H116" s="101"/>
      <c r="I116" s="101"/>
      <c r="J116" s="102" t="s">
        <v>455</v>
      </c>
      <c r="K116" s="102"/>
      <c r="L116" s="101"/>
      <c r="M116" s="147" t="s">
        <v>1466</v>
      </c>
      <c r="N116" s="103" t="s">
        <v>371</v>
      </c>
      <c r="O116" s="82" t="s">
        <v>1102</v>
      </c>
      <c r="P116" s="82" t="str">
        <f>IF(O116="","",VLOOKUP(O116,辅助表!$F$2:$G$200,2,FALSE))</f>
        <v>CO2焊#1</v>
      </c>
      <c r="Q116" s="82" t="s">
        <v>433</v>
      </c>
      <c r="R116" s="157" t="s">
        <v>1109</v>
      </c>
    </row>
    <row r="117" spans="1:18" ht="24">
      <c r="A117" s="139" t="s">
        <v>1265</v>
      </c>
      <c r="B117" s="98" t="s">
        <v>1393</v>
      </c>
      <c r="C117" s="99" t="s">
        <v>642</v>
      </c>
      <c r="D117" s="100"/>
      <c r="E117" s="158" t="s">
        <v>643</v>
      </c>
      <c r="F117" s="158" t="s">
        <v>644</v>
      </c>
      <c r="G117" s="101" t="s">
        <v>645</v>
      </c>
      <c r="H117" s="101"/>
      <c r="I117" s="101"/>
      <c r="J117" s="102" t="s">
        <v>455</v>
      </c>
      <c r="K117" s="102"/>
      <c r="L117" s="101"/>
      <c r="M117" s="147" t="s">
        <v>1466</v>
      </c>
      <c r="N117" s="103" t="s">
        <v>372</v>
      </c>
      <c r="O117" s="82" t="s">
        <v>435</v>
      </c>
      <c r="P117" s="82" t="str">
        <f>IF(O117="","",VLOOKUP(O117,辅助表!$F$2:$G$200,2,FALSE))</f>
        <v>后门钣金总成安装</v>
      </c>
      <c r="Q117" s="82" t="s">
        <v>399</v>
      </c>
      <c r="R117" s="151" t="s">
        <v>1108</v>
      </c>
    </row>
    <row r="118" spans="1:18" ht="24">
      <c r="A118" s="139" t="s">
        <v>1266</v>
      </c>
      <c r="B118" s="98" t="s">
        <v>1393</v>
      </c>
      <c r="C118" s="99" t="s">
        <v>642</v>
      </c>
      <c r="D118" s="100"/>
      <c r="E118" s="100" t="s">
        <v>646</v>
      </c>
      <c r="F118" s="99" t="s">
        <v>647</v>
      </c>
      <c r="G118" s="101" t="s">
        <v>645</v>
      </c>
      <c r="H118" s="101"/>
      <c r="I118" s="101"/>
      <c r="J118" s="102" t="s">
        <v>455</v>
      </c>
      <c r="K118" s="102"/>
      <c r="L118" s="101"/>
      <c r="M118" s="147" t="s">
        <v>1466</v>
      </c>
      <c r="N118" s="103" t="s">
        <v>372</v>
      </c>
      <c r="O118" s="82" t="s">
        <v>436</v>
      </c>
      <c r="P118" s="82" t="str">
        <f>IF(O118="","",VLOOKUP(O118,辅助表!$F$2:$G$200,2,FALSE))</f>
        <v>机盖安装</v>
      </c>
      <c r="Q118" s="82" t="s">
        <v>399</v>
      </c>
      <c r="R118" s="151" t="s">
        <v>1108</v>
      </c>
    </row>
    <row r="119" spans="1:18" ht="24">
      <c r="A119" s="139" t="s">
        <v>1267</v>
      </c>
      <c r="B119" s="98" t="s">
        <v>1393</v>
      </c>
      <c r="C119" s="99" t="s">
        <v>642</v>
      </c>
      <c r="D119" s="100"/>
      <c r="E119" s="100" t="s">
        <v>648</v>
      </c>
      <c r="F119" s="99" t="s">
        <v>649</v>
      </c>
      <c r="G119" s="101" t="s">
        <v>645</v>
      </c>
      <c r="H119" s="101"/>
      <c r="I119" s="101"/>
      <c r="J119" s="102" t="s">
        <v>455</v>
      </c>
      <c r="K119" s="102"/>
      <c r="L119" s="101"/>
      <c r="M119" s="147" t="s">
        <v>1466</v>
      </c>
      <c r="N119" s="103" t="s">
        <v>372</v>
      </c>
      <c r="O119" s="82" t="s">
        <v>436</v>
      </c>
      <c r="P119" s="82" t="str">
        <f>IF(O119="","",VLOOKUP(O119,辅助表!$F$2:$G$200,2,FALSE))</f>
        <v>机盖安装</v>
      </c>
      <c r="Q119" s="82" t="s">
        <v>429</v>
      </c>
      <c r="R119" s="155" t="s">
        <v>1109</v>
      </c>
    </row>
    <row r="120" spans="1:18" ht="24">
      <c r="A120" s="139" t="s">
        <v>1268</v>
      </c>
      <c r="B120" s="98" t="s">
        <v>1393</v>
      </c>
      <c r="C120" s="99" t="s">
        <v>642</v>
      </c>
      <c r="D120" s="4"/>
      <c r="E120" s="100" t="s">
        <v>650</v>
      </c>
      <c r="F120" s="99" t="s">
        <v>651</v>
      </c>
      <c r="G120" s="101" t="s">
        <v>645</v>
      </c>
      <c r="H120" s="104"/>
      <c r="I120" s="104"/>
      <c r="J120" s="102" t="s">
        <v>455</v>
      </c>
      <c r="K120" s="102"/>
      <c r="L120" s="101"/>
      <c r="M120" s="149" t="s">
        <v>1466</v>
      </c>
      <c r="N120" s="103" t="s">
        <v>372</v>
      </c>
      <c r="O120" s="124" t="s">
        <v>436</v>
      </c>
      <c r="P120" s="82" t="str">
        <f>IF(O120="","",VLOOKUP(O120,辅助表!$F$2:$G$200,2,FALSE))</f>
        <v>机盖安装</v>
      </c>
      <c r="Q120" s="103" t="s">
        <v>429</v>
      </c>
      <c r="R120" s="155" t="s">
        <v>1109</v>
      </c>
    </row>
    <row r="121" spans="1:18" ht="24">
      <c r="A121" s="139" t="s">
        <v>1269</v>
      </c>
      <c r="B121" s="129" t="s">
        <v>1393</v>
      </c>
      <c r="C121" s="130" t="s">
        <v>642</v>
      </c>
      <c r="D121" s="100"/>
      <c r="E121" s="100" t="s">
        <v>652</v>
      </c>
      <c r="F121" s="99" t="s">
        <v>651</v>
      </c>
      <c r="G121" s="99" t="s">
        <v>645</v>
      </c>
      <c r="H121" s="101"/>
      <c r="I121" s="101"/>
      <c r="J121" s="102" t="s">
        <v>455</v>
      </c>
      <c r="K121" s="102"/>
      <c r="L121" s="101"/>
      <c r="M121" s="147" t="s">
        <v>1466</v>
      </c>
      <c r="N121" s="103" t="s">
        <v>372</v>
      </c>
      <c r="O121" s="82" t="s">
        <v>436</v>
      </c>
      <c r="P121" s="82" t="str">
        <f>IF(O121="","",VLOOKUP(O121,辅助表!$F$2:$G$200,2,FALSE))</f>
        <v>机盖安装</v>
      </c>
      <c r="Q121" s="82" t="s">
        <v>429</v>
      </c>
      <c r="R121" s="155" t="s">
        <v>1109</v>
      </c>
    </row>
    <row r="122" spans="1:18" ht="24">
      <c r="A122" s="139" t="s">
        <v>1270</v>
      </c>
      <c r="B122" s="129" t="s">
        <v>1393</v>
      </c>
      <c r="C122" s="130" t="s">
        <v>642</v>
      </c>
      <c r="D122" s="100"/>
      <c r="E122" s="158" t="s">
        <v>653</v>
      </c>
      <c r="F122" s="158" t="s">
        <v>647</v>
      </c>
      <c r="G122" s="99" t="s">
        <v>645</v>
      </c>
      <c r="H122" s="101"/>
      <c r="I122" s="101"/>
      <c r="J122" s="102" t="s">
        <v>455</v>
      </c>
      <c r="K122" s="102"/>
      <c r="L122" s="101"/>
      <c r="M122" s="147" t="s">
        <v>1466</v>
      </c>
      <c r="N122" s="103" t="s">
        <v>372</v>
      </c>
      <c r="O122" s="82" t="s">
        <v>437</v>
      </c>
      <c r="P122" s="82" t="str">
        <f>IF(O122="","",VLOOKUP(O122,辅助表!$F$2:$G$200,2,FALSE))</f>
        <v>精调</v>
      </c>
      <c r="Q122" s="82" t="s">
        <v>399</v>
      </c>
      <c r="R122" s="151" t="s">
        <v>1108</v>
      </c>
    </row>
    <row r="123" spans="1:18">
      <c r="A123" s="139" t="s">
        <v>1271</v>
      </c>
      <c r="B123" s="129" t="s">
        <v>1393</v>
      </c>
      <c r="C123" s="130" t="s">
        <v>642</v>
      </c>
      <c r="D123" s="100"/>
      <c r="E123" s="100" t="s">
        <v>654</v>
      </c>
      <c r="F123" s="99" t="s">
        <v>655</v>
      </c>
      <c r="G123" s="99" t="s">
        <v>645</v>
      </c>
      <c r="H123" s="101"/>
      <c r="I123" s="101"/>
      <c r="J123" s="102" t="s">
        <v>455</v>
      </c>
      <c r="K123" s="102"/>
      <c r="L123" s="101"/>
      <c r="M123" s="147" t="s">
        <v>1466</v>
      </c>
      <c r="N123" s="103" t="s">
        <v>372</v>
      </c>
      <c r="O123" s="82" t="s">
        <v>437</v>
      </c>
      <c r="P123" s="82" t="str">
        <f>IF(O123="","",VLOOKUP(O123,辅助表!$F$2:$G$200,2,FALSE))</f>
        <v>精调</v>
      </c>
      <c r="Q123" s="82" t="s">
        <v>399</v>
      </c>
      <c r="R123" s="155" t="s">
        <v>1109</v>
      </c>
    </row>
    <row r="124" spans="1:18" ht="24">
      <c r="A124" s="139" t="s">
        <v>1272</v>
      </c>
      <c r="B124" s="129" t="s">
        <v>1393</v>
      </c>
      <c r="C124" s="129" t="s">
        <v>642</v>
      </c>
      <c r="D124" s="100"/>
      <c r="E124" s="100" t="s">
        <v>656</v>
      </c>
      <c r="F124" s="99" t="s">
        <v>657</v>
      </c>
      <c r="G124" s="99" t="s">
        <v>645</v>
      </c>
      <c r="H124" s="101"/>
      <c r="I124" s="101"/>
      <c r="J124" s="102" t="s">
        <v>455</v>
      </c>
      <c r="K124" s="102"/>
      <c r="L124" s="101"/>
      <c r="M124" s="147" t="s">
        <v>1466</v>
      </c>
      <c r="N124" s="103" t="s">
        <v>372</v>
      </c>
      <c r="O124" s="82" t="s">
        <v>437</v>
      </c>
      <c r="P124" s="82" t="str">
        <f>IF(O124="","",VLOOKUP(O124,辅助表!$F$2:$G$200,2,FALSE))</f>
        <v>精调</v>
      </c>
      <c r="Q124" s="82" t="s">
        <v>429</v>
      </c>
      <c r="R124" s="155" t="s">
        <v>1109</v>
      </c>
    </row>
    <row r="125" spans="1:18" ht="24">
      <c r="A125" s="139" t="s">
        <v>1273</v>
      </c>
      <c r="B125" s="129" t="s">
        <v>1393</v>
      </c>
      <c r="C125" s="129" t="s">
        <v>642</v>
      </c>
      <c r="D125" s="100"/>
      <c r="E125" s="131" t="s">
        <v>658</v>
      </c>
      <c r="F125" s="132" t="s">
        <v>657</v>
      </c>
      <c r="G125" s="99" t="s">
        <v>645</v>
      </c>
      <c r="H125" s="101"/>
      <c r="I125" s="101"/>
      <c r="J125" s="102" t="s">
        <v>455</v>
      </c>
      <c r="K125" s="102"/>
      <c r="L125" s="101"/>
      <c r="M125" s="147" t="s">
        <v>1466</v>
      </c>
      <c r="N125" s="103" t="s">
        <v>372</v>
      </c>
      <c r="O125" s="82" t="s">
        <v>437</v>
      </c>
      <c r="P125" s="82" t="str">
        <f>IF(O125="","",VLOOKUP(O125,辅助表!$F$2:$G$200,2,FALSE))</f>
        <v>精调</v>
      </c>
      <c r="Q125" s="82" t="s">
        <v>429</v>
      </c>
      <c r="R125" s="155" t="s">
        <v>1109</v>
      </c>
    </row>
    <row r="126" spans="1:18" ht="24">
      <c r="A126" s="139" t="s">
        <v>1274</v>
      </c>
      <c r="B126" s="129" t="s">
        <v>457</v>
      </c>
      <c r="C126" s="130" t="s">
        <v>642</v>
      </c>
      <c r="D126" s="100"/>
      <c r="E126" s="100" t="s">
        <v>659</v>
      </c>
      <c r="F126" s="99" t="s">
        <v>660</v>
      </c>
      <c r="G126" s="99" t="s">
        <v>645</v>
      </c>
      <c r="H126" s="101"/>
      <c r="I126" s="101"/>
      <c r="J126" s="102" t="s">
        <v>455</v>
      </c>
      <c r="K126" s="102"/>
      <c r="L126" s="101"/>
      <c r="M126" s="147" t="s">
        <v>1466</v>
      </c>
      <c r="N126" s="103" t="s">
        <v>372</v>
      </c>
      <c r="O126" s="82" t="s">
        <v>466</v>
      </c>
      <c r="P126" s="82" t="str">
        <f>IF(O126="","",VLOOKUP(O126,辅助表!$F$2:$G$200,2,FALSE))</f>
        <v>翼子板安装</v>
      </c>
      <c r="Q126" s="82" t="s">
        <v>429</v>
      </c>
      <c r="R126" s="155" t="s">
        <v>1109</v>
      </c>
    </row>
    <row r="127" spans="1:18" ht="24">
      <c r="A127" s="139" t="s">
        <v>1275</v>
      </c>
      <c r="B127" s="129" t="s">
        <v>457</v>
      </c>
      <c r="C127" s="130" t="s">
        <v>642</v>
      </c>
      <c r="D127" s="100"/>
      <c r="E127" s="100" t="s">
        <v>661</v>
      </c>
      <c r="F127" s="99" t="s">
        <v>662</v>
      </c>
      <c r="G127" s="99" t="s">
        <v>645</v>
      </c>
      <c r="H127" s="101"/>
      <c r="I127" s="101"/>
      <c r="J127" s="102" t="s">
        <v>455</v>
      </c>
      <c r="K127" s="102"/>
      <c r="L127" s="101"/>
      <c r="M127" s="148" t="s">
        <v>1466</v>
      </c>
      <c r="N127" s="103" t="s">
        <v>372</v>
      </c>
      <c r="O127" s="82" t="s">
        <v>467</v>
      </c>
      <c r="P127" s="82" t="str">
        <f>IF(O127="","",VLOOKUP(O127,辅助表!$F$2:$G$200,2,FALSE))</f>
        <v>出车检查</v>
      </c>
      <c r="Q127" s="82" t="s">
        <v>429</v>
      </c>
      <c r="R127" s="155" t="s">
        <v>1109</v>
      </c>
    </row>
    <row r="128" spans="1:18" ht="24">
      <c r="A128" s="139" t="s">
        <v>1276</v>
      </c>
      <c r="B128" s="129" t="s">
        <v>457</v>
      </c>
      <c r="C128" s="130" t="s">
        <v>642</v>
      </c>
      <c r="D128" s="100"/>
      <c r="E128" s="100" t="s">
        <v>663</v>
      </c>
      <c r="F128" s="99" t="s">
        <v>662</v>
      </c>
      <c r="G128" s="99" t="s">
        <v>645</v>
      </c>
      <c r="H128" s="101"/>
      <c r="I128" s="101"/>
      <c r="J128" s="102" t="s">
        <v>455</v>
      </c>
      <c r="K128" s="102"/>
      <c r="L128" s="101"/>
      <c r="M128" s="147" t="s">
        <v>1466</v>
      </c>
      <c r="N128" s="103" t="s">
        <v>372</v>
      </c>
      <c r="O128" s="82" t="s">
        <v>467</v>
      </c>
      <c r="P128" s="82" t="str">
        <f>IF(O128="","",VLOOKUP(O128,辅助表!$F$2:$G$200,2,FALSE))</f>
        <v>出车检查</v>
      </c>
      <c r="Q128" s="82" t="s">
        <v>429</v>
      </c>
      <c r="R128" s="155" t="s">
        <v>1109</v>
      </c>
    </row>
    <row r="129" spans="1:18" ht="24">
      <c r="A129" s="139" t="s">
        <v>1277</v>
      </c>
      <c r="B129" s="129" t="s">
        <v>463</v>
      </c>
      <c r="C129" s="130" t="s">
        <v>638</v>
      </c>
      <c r="D129" s="4"/>
      <c r="E129" s="4" t="s">
        <v>664</v>
      </c>
      <c r="F129" s="4" t="s">
        <v>665</v>
      </c>
      <c r="G129" s="99" t="s">
        <v>475</v>
      </c>
      <c r="H129" s="104"/>
      <c r="I129" s="104"/>
      <c r="J129" s="102" t="s">
        <v>455</v>
      </c>
      <c r="K129" s="102"/>
      <c r="L129" s="101"/>
      <c r="M129" s="149" t="s">
        <v>1466</v>
      </c>
      <c r="N129" s="103" t="s">
        <v>371</v>
      </c>
      <c r="O129" s="82" t="s">
        <v>1102</v>
      </c>
      <c r="P129" s="82" t="str">
        <f>IF(O129="","",VLOOKUP(O129,辅助表!$F$2:$G$200,2,FALSE))</f>
        <v>CO2焊#1</v>
      </c>
      <c r="Q129" s="103" t="s">
        <v>429</v>
      </c>
      <c r="R129" s="151" t="s">
        <v>1108</v>
      </c>
    </row>
    <row r="130" spans="1:18" ht="24">
      <c r="A130" s="139" t="s">
        <v>1278</v>
      </c>
      <c r="B130" s="129" t="s">
        <v>463</v>
      </c>
      <c r="C130" s="130" t="s">
        <v>638</v>
      </c>
      <c r="D130" s="4"/>
      <c r="E130" s="4" t="s">
        <v>666</v>
      </c>
      <c r="F130" s="4" t="s">
        <v>667</v>
      </c>
      <c r="G130" s="99" t="s">
        <v>475</v>
      </c>
      <c r="H130" s="104"/>
      <c r="I130" s="104"/>
      <c r="J130" s="102" t="s">
        <v>455</v>
      </c>
      <c r="K130" s="102"/>
      <c r="L130" s="101"/>
      <c r="M130" s="149" t="s">
        <v>1466</v>
      </c>
      <c r="N130" s="103" t="s">
        <v>372</v>
      </c>
      <c r="O130" s="125" t="s">
        <v>668</v>
      </c>
      <c r="P130" s="82" t="str">
        <f>IF(O130="","",VLOOKUP(O130,辅助表!$F$2:$G$200,2,FALSE))</f>
        <v>小件安装#2</v>
      </c>
      <c r="Q130" s="103" t="s">
        <v>429</v>
      </c>
      <c r="R130" s="155" t="s">
        <v>1109</v>
      </c>
    </row>
    <row r="131" spans="1:18" ht="36">
      <c r="A131" s="144" t="s">
        <v>1279</v>
      </c>
      <c r="B131" s="129" t="s">
        <v>1394</v>
      </c>
      <c r="C131" s="130" t="s">
        <v>438</v>
      </c>
      <c r="D131" s="104"/>
      <c r="E131" s="104" t="s">
        <v>669</v>
      </c>
      <c r="F131" s="104" t="s">
        <v>1358</v>
      </c>
      <c r="G131" s="99" t="s">
        <v>670</v>
      </c>
      <c r="H131" s="134" t="s">
        <v>1359</v>
      </c>
      <c r="I131" s="134" t="s">
        <v>423</v>
      </c>
      <c r="J131" s="105" t="s">
        <v>1360</v>
      </c>
      <c r="K131" s="126"/>
      <c r="L131" s="126"/>
      <c r="M131" s="149" t="s">
        <v>1466</v>
      </c>
      <c r="N131" s="127" t="s">
        <v>367</v>
      </c>
      <c r="O131" s="124" t="s">
        <v>168</v>
      </c>
      <c r="P131" s="82" t="s">
        <v>169</v>
      </c>
      <c r="Q131" s="103" t="s">
        <v>429</v>
      </c>
      <c r="R131" s="157" t="s">
        <v>1435</v>
      </c>
    </row>
    <row r="132" spans="1:18" ht="24">
      <c r="A132" s="144" t="s">
        <v>1280</v>
      </c>
      <c r="B132" s="129" t="s">
        <v>1394</v>
      </c>
      <c r="C132" s="130" t="s">
        <v>438</v>
      </c>
      <c r="D132" s="4"/>
      <c r="E132" s="128" t="s">
        <v>672</v>
      </c>
      <c r="F132" s="128" t="s">
        <v>673</v>
      </c>
      <c r="G132" s="99" t="s">
        <v>670</v>
      </c>
      <c r="H132" s="134" t="s">
        <v>1361</v>
      </c>
      <c r="I132" s="134" t="s">
        <v>423</v>
      </c>
      <c r="J132" s="118" t="s">
        <v>469</v>
      </c>
      <c r="K132" s="4"/>
      <c r="L132" s="4"/>
      <c r="M132" s="149" t="s">
        <v>1466</v>
      </c>
      <c r="N132" s="125" t="s">
        <v>367</v>
      </c>
      <c r="O132" s="124" t="s">
        <v>168</v>
      </c>
      <c r="P132" s="82" t="s">
        <v>169</v>
      </c>
      <c r="Q132" s="103" t="s">
        <v>429</v>
      </c>
      <c r="R132" s="157" t="s">
        <v>1435</v>
      </c>
    </row>
    <row r="133" spans="1:18" ht="24">
      <c r="A133" s="144" t="s">
        <v>1281</v>
      </c>
      <c r="B133" s="129" t="s">
        <v>1396</v>
      </c>
      <c r="C133" s="106" t="s">
        <v>439</v>
      </c>
      <c r="D133" s="106"/>
      <c r="E133" s="107" t="s">
        <v>674</v>
      </c>
      <c r="F133" s="107" t="s">
        <v>675</v>
      </c>
      <c r="G133" s="99" t="s">
        <v>670</v>
      </c>
      <c r="H133" s="134" t="s">
        <v>1361</v>
      </c>
      <c r="I133" s="134" t="s">
        <v>423</v>
      </c>
      <c r="J133" s="118" t="s">
        <v>469</v>
      </c>
      <c r="K133" s="106"/>
      <c r="L133" s="106"/>
      <c r="M133" s="150" t="s">
        <v>1466</v>
      </c>
      <c r="N133" s="127" t="s">
        <v>367</v>
      </c>
      <c r="O133" s="127" t="s">
        <v>168</v>
      </c>
      <c r="P133" s="82" t="s">
        <v>169</v>
      </c>
      <c r="Q133" s="103" t="s">
        <v>429</v>
      </c>
      <c r="R133" s="157" t="s">
        <v>1435</v>
      </c>
    </row>
    <row r="134" spans="1:18" ht="24">
      <c r="A134" s="144" t="s">
        <v>1282</v>
      </c>
      <c r="B134" s="129" t="s">
        <v>1397</v>
      </c>
      <c r="C134" s="130" t="s">
        <v>439</v>
      </c>
      <c r="D134" s="106"/>
      <c r="E134" s="107" t="s">
        <v>676</v>
      </c>
      <c r="F134" s="107" t="s">
        <v>677</v>
      </c>
      <c r="G134" s="99" t="s">
        <v>670</v>
      </c>
      <c r="H134" s="134" t="s">
        <v>1362</v>
      </c>
      <c r="I134" s="134" t="s">
        <v>423</v>
      </c>
      <c r="J134" s="118" t="s">
        <v>468</v>
      </c>
      <c r="K134" s="106" t="s">
        <v>678</v>
      </c>
      <c r="L134" s="106" t="s">
        <v>670</v>
      </c>
      <c r="M134" s="150" t="s">
        <v>1466</v>
      </c>
      <c r="N134" s="127" t="s">
        <v>367</v>
      </c>
      <c r="O134" s="127" t="s">
        <v>172</v>
      </c>
      <c r="P134" s="82" t="s">
        <v>173</v>
      </c>
      <c r="Q134" s="103" t="s">
        <v>399</v>
      </c>
      <c r="R134" s="157" t="s">
        <v>1109</v>
      </c>
    </row>
    <row r="135" spans="1:18" ht="36">
      <c r="A135" s="144" t="s">
        <v>1283</v>
      </c>
      <c r="B135" s="129" t="s">
        <v>1397</v>
      </c>
      <c r="C135" s="130" t="s">
        <v>439</v>
      </c>
      <c r="D135" s="106"/>
      <c r="E135" s="133" t="s">
        <v>679</v>
      </c>
      <c r="F135" s="107" t="s">
        <v>680</v>
      </c>
      <c r="G135" s="99" t="s">
        <v>670</v>
      </c>
      <c r="H135" s="134" t="s">
        <v>1359</v>
      </c>
      <c r="I135" s="134" t="s">
        <v>423</v>
      </c>
      <c r="J135" s="118" t="s">
        <v>469</v>
      </c>
      <c r="K135" s="102"/>
      <c r="L135" s="106"/>
      <c r="M135" s="150" t="s">
        <v>1466</v>
      </c>
      <c r="N135" s="127" t="s">
        <v>367</v>
      </c>
      <c r="O135" s="127" t="s">
        <v>172</v>
      </c>
      <c r="P135" s="82" t="s">
        <v>173</v>
      </c>
      <c r="Q135" s="103" t="s">
        <v>429</v>
      </c>
      <c r="R135" s="157" t="s">
        <v>1435</v>
      </c>
    </row>
    <row r="136" spans="1:18" ht="24">
      <c r="A136" s="144" t="s">
        <v>1284</v>
      </c>
      <c r="B136" s="129" t="s">
        <v>1398</v>
      </c>
      <c r="C136" s="130" t="s">
        <v>439</v>
      </c>
      <c r="D136" s="106"/>
      <c r="E136" s="133" t="s">
        <v>681</v>
      </c>
      <c r="F136" s="107" t="s">
        <v>682</v>
      </c>
      <c r="G136" s="99" t="s">
        <v>670</v>
      </c>
      <c r="H136" s="134" t="s">
        <v>1359</v>
      </c>
      <c r="I136" s="134" t="s">
        <v>423</v>
      </c>
      <c r="J136" s="118" t="s">
        <v>469</v>
      </c>
      <c r="K136" s="106"/>
      <c r="L136" s="106"/>
      <c r="M136" s="150" t="s">
        <v>1466</v>
      </c>
      <c r="N136" s="127" t="s">
        <v>367</v>
      </c>
      <c r="O136" s="127" t="s">
        <v>440</v>
      </c>
      <c r="P136" s="82" t="s">
        <v>387</v>
      </c>
      <c r="Q136" s="103" t="s">
        <v>429</v>
      </c>
      <c r="R136" s="152" t="s">
        <v>1108</v>
      </c>
    </row>
    <row r="137" spans="1:18" ht="24">
      <c r="A137" s="144" t="s">
        <v>1285</v>
      </c>
      <c r="B137" s="129" t="s">
        <v>1400</v>
      </c>
      <c r="C137" s="134" t="s">
        <v>439</v>
      </c>
      <c r="D137" s="106"/>
      <c r="E137" s="107" t="s">
        <v>683</v>
      </c>
      <c r="F137" s="107"/>
      <c r="G137" s="99" t="s">
        <v>670</v>
      </c>
      <c r="H137" s="134" t="s">
        <v>1363</v>
      </c>
      <c r="I137" s="134" t="s">
        <v>423</v>
      </c>
      <c r="J137" s="118" t="s">
        <v>469</v>
      </c>
      <c r="K137" s="106"/>
      <c r="L137" s="106"/>
      <c r="M137" s="150" t="s">
        <v>1466</v>
      </c>
      <c r="N137" s="127" t="s">
        <v>367</v>
      </c>
      <c r="O137" s="127" t="s">
        <v>440</v>
      </c>
      <c r="P137" s="82" t="s">
        <v>387</v>
      </c>
      <c r="Q137" s="103" t="s">
        <v>429</v>
      </c>
      <c r="R137" s="152" t="s">
        <v>1108</v>
      </c>
    </row>
    <row r="138" spans="1:18" ht="24">
      <c r="A138" s="144" t="s">
        <v>1286</v>
      </c>
      <c r="B138" s="129" t="s">
        <v>1401</v>
      </c>
      <c r="C138" s="130" t="s">
        <v>439</v>
      </c>
      <c r="D138" s="106"/>
      <c r="E138" s="107" t="s">
        <v>684</v>
      </c>
      <c r="F138" s="107" t="s">
        <v>685</v>
      </c>
      <c r="G138" s="99" t="s">
        <v>670</v>
      </c>
      <c r="H138" s="134" t="s">
        <v>1361</v>
      </c>
      <c r="I138" s="134" t="s">
        <v>423</v>
      </c>
      <c r="J138" s="118" t="s">
        <v>469</v>
      </c>
      <c r="K138" s="102"/>
      <c r="L138" s="106"/>
      <c r="M138" s="150" t="s">
        <v>1466</v>
      </c>
      <c r="N138" s="127" t="s">
        <v>369</v>
      </c>
      <c r="O138" s="127" t="s">
        <v>192</v>
      </c>
      <c r="P138" s="82" t="s">
        <v>193</v>
      </c>
      <c r="Q138" s="103" t="s">
        <v>429</v>
      </c>
      <c r="R138" s="157" t="s">
        <v>1435</v>
      </c>
    </row>
    <row r="139" spans="1:18" ht="60">
      <c r="A139" s="144" t="s">
        <v>1287</v>
      </c>
      <c r="B139" s="129" t="s">
        <v>1402</v>
      </c>
      <c r="C139" s="130" t="s">
        <v>439</v>
      </c>
      <c r="D139" s="106"/>
      <c r="E139" s="107" t="s">
        <v>686</v>
      </c>
      <c r="F139" s="107" t="s">
        <v>687</v>
      </c>
      <c r="G139" s="99" t="s">
        <v>670</v>
      </c>
      <c r="H139" s="134" t="s">
        <v>1361</v>
      </c>
      <c r="I139" s="134" t="s">
        <v>423</v>
      </c>
      <c r="J139" s="118" t="s">
        <v>469</v>
      </c>
      <c r="K139" s="102"/>
      <c r="L139" s="106"/>
      <c r="M139" s="150" t="s">
        <v>1466</v>
      </c>
      <c r="N139" s="127" t="s">
        <v>369</v>
      </c>
      <c r="O139" s="127" t="s">
        <v>192</v>
      </c>
      <c r="P139" s="82" t="s">
        <v>193</v>
      </c>
      <c r="Q139" s="103" t="s">
        <v>429</v>
      </c>
      <c r="R139" s="157" t="s">
        <v>1435</v>
      </c>
    </row>
    <row r="140" spans="1:18" ht="24">
      <c r="A140" s="144" t="s">
        <v>1288</v>
      </c>
      <c r="B140" s="129" t="s">
        <v>1403</v>
      </c>
      <c r="C140" s="130" t="s">
        <v>439</v>
      </c>
      <c r="D140" s="106"/>
      <c r="E140" s="107" t="s">
        <v>688</v>
      </c>
      <c r="F140" s="107" t="s">
        <v>689</v>
      </c>
      <c r="G140" s="99" t="s">
        <v>670</v>
      </c>
      <c r="H140" s="134" t="s">
        <v>1359</v>
      </c>
      <c r="I140" s="134" t="s">
        <v>423</v>
      </c>
      <c r="J140" s="118" t="s">
        <v>469</v>
      </c>
      <c r="K140" s="102"/>
      <c r="L140" s="106"/>
      <c r="M140" s="150" t="s">
        <v>1466</v>
      </c>
      <c r="N140" s="127" t="s">
        <v>369</v>
      </c>
      <c r="O140" s="127" t="s">
        <v>192</v>
      </c>
      <c r="P140" s="82" t="s">
        <v>193</v>
      </c>
      <c r="Q140" s="103" t="s">
        <v>429</v>
      </c>
      <c r="R140" s="157" t="s">
        <v>1435</v>
      </c>
    </row>
    <row r="141" spans="1:18" ht="24">
      <c r="A141" s="144" t="s">
        <v>1289</v>
      </c>
      <c r="B141" s="129" t="s">
        <v>1399</v>
      </c>
      <c r="C141" s="130" t="s">
        <v>439</v>
      </c>
      <c r="D141" s="106"/>
      <c r="E141" s="107" t="s">
        <v>690</v>
      </c>
      <c r="F141" s="107" t="s">
        <v>691</v>
      </c>
      <c r="G141" s="99" t="s">
        <v>670</v>
      </c>
      <c r="H141" s="134" t="s">
        <v>1363</v>
      </c>
      <c r="I141" s="134" t="s">
        <v>423</v>
      </c>
      <c r="J141" s="118" t="s">
        <v>469</v>
      </c>
      <c r="K141" s="106"/>
      <c r="L141" s="106"/>
      <c r="M141" s="150" t="s">
        <v>1466</v>
      </c>
      <c r="N141" s="127" t="s">
        <v>369</v>
      </c>
      <c r="O141" s="127" t="s">
        <v>196</v>
      </c>
      <c r="P141" s="82" t="s">
        <v>197</v>
      </c>
      <c r="Q141" s="103" t="s">
        <v>399</v>
      </c>
      <c r="R141" s="157" t="s">
        <v>1435</v>
      </c>
    </row>
    <row r="142" spans="1:18" ht="24">
      <c r="A142" s="144" t="s">
        <v>1290</v>
      </c>
      <c r="B142" s="129" t="s">
        <v>1404</v>
      </c>
      <c r="C142" s="130" t="s">
        <v>439</v>
      </c>
      <c r="D142" s="106"/>
      <c r="E142" s="107" t="s">
        <v>692</v>
      </c>
      <c r="F142" s="107" t="s">
        <v>693</v>
      </c>
      <c r="G142" s="99" t="s">
        <v>670</v>
      </c>
      <c r="H142" s="134" t="s">
        <v>1361</v>
      </c>
      <c r="I142" s="134" t="s">
        <v>423</v>
      </c>
      <c r="J142" s="118" t="s">
        <v>469</v>
      </c>
      <c r="K142" s="102"/>
      <c r="L142" s="106"/>
      <c r="M142" s="150" t="s">
        <v>1466</v>
      </c>
      <c r="N142" s="127" t="s">
        <v>369</v>
      </c>
      <c r="O142" s="127" t="s">
        <v>1104</v>
      </c>
      <c r="P142" s="82" t="s">
        <v>392</v>
      </c>
      <c r="Q142" s="103" t="s">
        <v>429</v>
      </c>
      <c r="R142" s="157" t="s">
        <v>1435</v>
      </c>
    </row>
    <row r="143" spans="1:18" ht="24">
      <c r="A143" s="144" t="s">
        <v>1291</v>
      </c>
      <c r="B143" s="129" t="s">
        <v>1394</v>
      </c>
      <c r="C143" s="130" t="s">
        <v>438</v>
      </c>
      <c r="D143" s="106"/>
      <c r="E143" s="107" t="s">
        <v>694</v>
      </c>
      <c r="F143" s="107" t="s">
        <v>695</v>
      </c>
      <c r="G143" s="99" t="s">
        <v>670</v>
      </c>
      <c r="H143" s="134" t="s">
        <v>1361</v>
      </c>
      <c r="I143" s="134" t="s">
        <v>423</v>
      </c>
      <c r="J143" s="118" t="s">
        <v>469</v>
      </c>
      <c r="K143" s="102"/>
      <c r="L143" s="106"/>
      <c r="M143" s="150" t="s">
        <v>1466</v>
      </c>
      <c r="N143" s="127" t="s">
        <v>368</v>
      </c>
      <c r="O143" s="127" t="s">
        <v>442</v>
      </c>
      <c r="P143" s="82" t="s">
        <v>181</v>
      </c>
      <c r="Q143" s="103" t="s">
        <v>429</v>
      </c>
      <c r="R143" s="157" t="s">
        <v>1435</v>
      </c>
    </row>
    <row r="144" spans="1:18" ht="36">
      <c r="A144" s="144" t="s">
        <v>1292</v>
      </c>
      <c r="B144" s="129" t="s">
        <v>1407</v>
      </c>
      <c r="C144" s="130" t="s">
        <v>439</v>
      </c>
      <c r="D144" s="106"/>
      <c r="E144" s="107" t="s">
        <v>1364</v>
      </c>
      <c r="F144" s="107" t="s">
        <v>696</v>
      </c>
      <c r="G144" s="99" t="s">
        <v>670</v>
      </c>
      <c r="H144" s="134" t="s">
        <v>1359</v>
      </c>
      <c r="I144" s="134" t="s">
        <v>423</v>
      </c>
      <c r="J144" s="118" t="s">
        <v>469</v>
      </c>
      <c r="K144" s="106"/>
      <c r="L144" s="106"/>
      <c r="M144" s="150" t="s">
        <v>1466</v>
      </c>
      <c r="N144" s="127" t="s">
        <v>368</v>
      </c>
      <c r="O144" s="127" t="s">
        <v>442</v>
      </c>
      <c r="P144" s="82" t="s">
        <v>181</v>
      </c>
      <c r="Q144" s="103" t="s">
        <v>429</v>
      </c>
      <c r="R144" s="157" t="s">
        <v>1435</v>
      </c>
    </row>
    <row r="145" spans="1:18" ht="24">
      <c r="A145" s="144" t="s">
        <v>1293</v>
      </c>
      <c r="B145" s="129" t="s">
        <v>1397</v>
      </c>
      <c r="C145" s="134" t="s">
        <v>439</v>
      </c>
      <c r="D145" s="106"/>
      <c r="E145" s="107" t="s">
        <v>697</v>
      </c>
      <c r="F145" s="107" t="s">
        <v>698</v>
      </c>
      <c r="G145" s="99" t="s">
        <v>670</v>
      </c>
      <c r="H145" s="134" t="s">
        <v>1362</v>
      </c>
      <c r="I145" s="134" t="s">
        <v>423</v>
      </c>
      <c r="J145" s="118" t="s">
        <v>671</v>
      </c>
      <c r="K145" s="106" t="s">
        <v>678</v>
      </c>
      <c r="L145" s="106" t="s">
        <v>670</v>
      </c>
      <c r="M145" s="150" t="s">
        <v>1466</v>
      </c>
      <c r="N145" s="127" t="s">
        <v>368</v>
      </c>
      <c r="O145" s="127" t="s">
        <v>442</v>
      </c>
      <c r="P145" s="82" t="s">
        <v>181</v>
      </c>
      <c r="Q145" s="103" t="s">
        <v>399</v>
      </c>
      <c r="R145" s="152" t="s">
        <v>1108</v>
      </c>
    </row>
    <row r="146" spans="1:18" ht="24">
      <c r="A146" s="144" t="s">
        <v>1294</v>
      </c>
      <c r="B146" s="129" t="s">
        <v>678</v>
      </c>
      <c r="C146" s="129" t="s">
        <v>699</v>
      </c>
      <c r="D146" s="106"/>
      <c r="E146" s="107" t="s">
        <v>700</v>
      </c>
      <c r="F146" s="107" t="s">
        <v>701</v>
      </c>
      <c r="G146" s="99" t="s">
        <v>670</v>
      </c>
      <c r="H146" s="134" t="s">
        <v>1362</v>
      </c>
      <c r="I146" s="134" t="s">
        <v>423</v>
      </c>
      <c r="J146" s="118" t="s">
        <v>469</v>
      </c>
      <c r="K146" s="106" t="s">
        <v>1365</v>
      </c>
      <c r="L146" s="106" t="s">
        <v>670</v>
      </c>
      <c r="M146" s="150" t="s">
        <v>1466</v>
      </c>
      <c r="N146" s="127" t="s">
        <v>368</v>
      </c>
      <c r="O146" s="127" t="s">
        <v>442</v>
      </c>
      <c r="P146" s="82" t="s">
        <v>181</v>
      </c>
      <c r="Q146" s="103" t="s">
        <v>399</v>
      </c>
      <c r="R146" s="157" t="s">
        <v>1109</v>
      </c>
    </row>
    <row r="147" spans="1:18" ht="24">
      <c r="A147" s="144" t="s">
        <v>1295</v>
      </c>
      <c r="B147" s="129" t="s">
        <v>1408</v>
      </c>
      <c r="C147" s="130" t="s">
        <v>439</v>
      </c>
      <c r="D147" s="106"/>
      <c r="E147" s="107" t="s">
        <v>702</v>
      </c>
      <c r="F147" s="107" t="s">
        <v>703</v>
      </c>
      <c r="G147" s="99" t="s">
        <v>670</v>
      </c>
      <c r="H147" s="134" t="s">
        <v>1363</v>
      </c>
      <c r="I147" s="134" t="s">
        <v>423</v>
      </c>
      <c r="J147" s="118" t="s">
        <v>469</v>
      </c>
      <c r="K147" s="106" t="s">
        <v>1365</v>
      </c>
      <c r="L147" s="106" t="s">
        <v>670</v>
      </c>
      <c r="M147" s="150" t="s">
        <v>1466</v>
      </c>
      <c r="N147" s="127" t="s">
        <v>368</v>
      </c>
      <c r="O147" s="127" t="s">
        <v>443</v>
      </c>
      <c r="P147" s="82" t="s">
        <v>185</v>
      </c>
      <c r="Q147" s="103" t="s">
        <v>399</v>
      </c>
      <c r="R147" s="157" t="s">
        <v>1109</v>
      </c>
    </row>
    <row r="148" spans="1:18" ht="24">
      <c r="A148" s="144" t="s">
        <v>1296</v>
      </c>
      <c r="B148" s="129" t="s">
        <v>1409</v>
      </c>
      <c r="C148" s="130" t="s">
        <v>439</v>
      </c>
      <c r="D148" s="106"/>
      <c r="E148" s="107" t="s">
        <v>704</v>
      </c>
      <c r="F148" s="107" t="s">
        <v>705</v>
      </c>
      <c r="G148" s="99" t="s">
        <v>670</v>
      </c>
      <c r="H148" s="134" t="s">
        <v>1361</v>
      </c>
      <c r="I148" s="134" t="s">
        <v>423</v>
      </c>
      <c r="J148" s="118" t="s">
        <v>469</v>
      </c>
      <c r="K148" s="106" t="s">
        <v>678</v>
      </c>
      <c r="L148" s="106" t="s">
        <v>670</v>
      </c>
      <c r="M148" s="150" t="s">
        <v>1466</v>
      </c>
      <c r="N148" s="127" t="s">
        <v>368</v>
      </c>
      <c r="O148" s="127" t="s">
        <v>444</v>
      </c>
      <c r="P148" s="82" t="s">
        <v>389</v>
      </c>
      <c r="Q148" s="103" t="s">
        <v>429</v>
      </c>
      <c r="R148" s="157" t="s">
        <v>1109</v>
      </c>
    </row>
    <row r="149" spans="1:18" ht="24">
      <c r="A149" s="144" t="s">
        <v>1297</v>
      </c>
      <c r="B149" s="129" t="s">
        <v>1399</v>
      </c>
      <c r="C149" s="130" t="s">
        <v>439</v>
      </c>
      <c r="D149" s="106"/>
      <c r="E149" s="107" t="s">
        <v>683</v>
      </c>
      <c r="F149" s="107"/>
      <c r="G149" s="99" t="s">
        <v>670</v>
      </c>
      <c r="H149" s="134" t="s">
        <v>1363</v>
      </c>
      <c r="I149" s="134" t="s">
        <v>423</v>
      </c>
      <c r="J149" s="118" t="s">
        <v>469</v>
      </c>
      <c r="K149" s="106" t="s">
        <v>678</v>
      </c>
      <c r="L149" s="106" t="s">
        <v>670</v>
      </c>
      <c r="M149" s="150" t="s">
        <v>1466</v>
      </c>
      <c r="N149" s="127" t="s">
        <v>368</v>
      </c>
      <c r="O149" s="127" t="s">
        <v>444</v>
      </c>
      <c r="P149" s="82" t="s">
        <v>389</v>
      </c>
      <c r="Q149" s="103" t="s">
        <v>429</v>
      </c>
      <c r="R149" s="157" t="s">
        <v>1109</v>
      </c>
    </row>
    <row r="150" spans="1:18" ht="36">
      <c r="A150" s="144" t="s">
        <v>1298</v>
      </c>
      <c r="B150" s="129" t="s">
        <v>1409</v>
      </c>
      <c r="C150" s="130" t="s">
        <v>439</v>
      </c>
      <c r="D150" s="106"/>
      <c r="E150" s="107" t="s">
        <v>706</v>
      </c>
      <c r="F150" s="107" t="s">
        <v>687</v>
      </c>
      <c r="G150" s="99" t="s">
        <v>670</v>
      </c>
      <c r="H150" s="134" t="s">
        <v>1359</v>
      </c>
      <c r="I150" s="134" t="s">
        <v>423</v>
      </c>
      <c r="J150" s="118" t="s">
        <v>469</v>
      </c>
      <c r="K150" s="106" t="s">
        <v>678</v>
      </c>
      <c r="L150" s="106" t="s">
        <v>670</v>
      </c>
      <c r="M150" s="150" t="s">
        <v>1466</v>
      </c>
      <c r="N150" s="127" t="s">
        <v>370</v>
      </c>
      <c r="O150" s="127" t="s">
        <v>445</v>
      </c>
      <c r="P150" s="82" t="s">
        <v>394</v>
      </c>
      <c r="Q150" s="103" t="s">
        <v>429</v>
      </c>
      <c r="R150" s="157" t="s">
        <v>1109</v>
      </c>
    </row>
    <row r="151" spans="1:18" ht="24">
      <c r="A151" s="144" t="s">
        <v>1299</v>
      </c>
      <c r="B151" s="129" t="s">
        <v>1403</v>
      </c>
      <c r="C151" s="130" t="s">
        <v>439</v>
      </c>
      <c r="D151" s="106"/>
      <c r="E151" s="107" t="s">
        <v>707</v>
      </c>
      <c r="F151" s="107" t="s">
        <v>708</v>
      </c>
      <c r="G151" s="99" t="s">
        <v>670</v>
      </c>
      <c r="H151" s="134" t="s">
        <v>1359</v>
      </c>
      <c r="I151" s="134" t="s">
        <v>423</v>
      </c>
      <c r="J151" s="118" t="s">
        <v>1366</v>
      </c>
      <c r="K151" s="106"/>
      <c r="L151" s="106"/>
      <c r="M151" s="150" t="s">
        <v>1466</v>
      </c>
      <c r="N151" s="127" t="s">
        <v>370</v>
      </c>
      <c r="O151" s="127" t="s">
        <v>445</v>
      </c>
      <c r="P151" s="82" t="s">
        <v>394</v>
      </c>
      <c r="Q151" s="103" t="s">
        <v>429</v>
      </c>
      <c r="R151" s="157" t="s">
        <v>1435</v>
      </c>
    </row>
    <row r="152" spans="1:18" ht="36">
      <c r="A152" s="144" t="s">
        <v>1300</v>
      </c>
      <c r="B152" s="129" t="s">
        <v>1395</v>
      </c>
      <c r="C152" s="134" t="s">
        <v>439</v>
      </c>
      <c r="D152" s="106"/>
      <c r="E152" s="107" t="s">
        <v>709</v>
      </c>
      <c r="F152" s="107" t="s">
        <v>710</v>
      </c>
      <c r="G152" s="99" t="s">
        <v>670</v>
      </c>
      <c r="H152" s="134" t="s">
        <v>1363</v>
      </c>
      <c r="I152" s="134" t="s">
        <v>423</v>
      </c>
      <c r="J152" s="118" t="s">
        <v>456</v>
      </c>
      <c r="K152" s="106" t="s">
        <v>678</v>
      </c>
      <c r="L152" s="106" t="s">
        <v>670</v>
      </c>
      <c r="M152" s="150" t="s">
        <v>1466</v>
      </c>
      <c r="N152" s="127" t="s">
        <v>370</v>
      </c>
      <c r="O152" s="127" t="s">
        <v>446</v>
      </c>
      <c r="P152" s="82" t="s">
        <v>397</v>
      </c>
      <c r="Q152" s="103" t="s">
        <v>399</v>
      </c>
      <c r="R152" s="157" t="s">
        <v>1109</v>
      </c>
    </row>
    <row r="153" spans="1:18" ht="24">
      <c r="A153" s="144" t="s">
        <v>1301</v>
      </c>
      <c r="B153" s="129" t="s">
        <v>1397</v>
      </c>
      <c r="C153" s="134" t="s">
        <v>439</v>
      </c>
      <c r="D153" s="106"/>
      <c r="E153" s="107" t="s">
        <v>711</v>
      </c>
      <c r="F153" s="107" t="s">
        <v>712</v>
      </c>
      <c r="G153" s="99" t="s">
        <v>670</v>
      </c>
      <c r="H153" s="134" t="s">
        <v>1362</v>
      </c>
      <c r="I153" s="134" t="s">
        <v>423</v>
      </c>
      <c r="J153" s="118" t="s">
        <v>456</v>
      </c>
      <c r="K153" s="106" t="s">
        <v>678</v>
      </c>
      <c r="L153" s="106" t="s">
        <v>670</v>
      </c>
      <c r="M153" s="150" t="s">
        <v>1466</v>
      </c>
      <c r="N153" s="127" t="s">
        <v>370</v>
      </c>
      <c r="O153" s="127" t="s">
        <v>446</v>
      </c>
      <c r="P153" s="82" t="s">
        <v>397</v>
      </c>
      <c r="Q153" s="103" t="s">
        <v>399</v>
      </c>
      <c r="R153" s="157" t="s">
        <v>1109</v>
      </c>
    </row>
    <row r="154" spans="1:18" ht="24">
      <c r="A154" s="144" t="s">
        <v>1302</v>
      </c>
      <c r="B154" s="129" t="s">
        <v>1409</v>
      </c>
      <c r="C154" s="134" t="s">
        <v>439</v>
      </c>
      <c r="D154" s="106"/>
      <c r="E154" s="107" t="s">
        <v>713</v>
      </c>
      <c r="F154" s="107"/>
      <c r="G154" s="99" t="s">
        <v>670</v>
      </c>
      <c r="H154" s="134" t="s">
        <v>1361</v>
      </c>
      <c r="I154" s="134" t="s">
        <v>423</v>
      </c>
      <c r="J154" s="118" t="s">
        <v>469</v>
      </c>
      <c r="K154" s="106"/>
      <c r="L154" s="106"/>
      <c r="M154" s="150" t="s">
        <v>1466</v>
      </c>
      <c r="N154" s="127" t="s">
        <v>370</v>
      </c>
      <c r="O154" s="127" t="s">
        <v>1105</v>
      </c>
      <c r="P154" s="82" t="s">
        <v>392</v>
      </c>
      <c r="Q154" s="103" t="s">
        <v>1367</v>
      </c>
      <c r="R154" s="157" t="s">
        <v>1435</v>
      </c>
    </row>
    <row r="155" spans="1:18" ht="24">
      <c r="A155" s="144" t="s">
        <v>1303</v>
      </c>
      <c r="B155" s="129" t="s">
        <v>1410</v>
      </c>
      <c r="C155" s="134" t="s">
        <v>439</v>
      </c>
      <c r="D155" s="106"/>
      <c r="E155" s="107" t="s">
        <v>714</v>
      </c>
      <c r="F155" s="107" t="s">
        <v>715</v>
      </c>
      <c r="G155" s="99" t="s">
        <v>670</v>
      </c>
      <c r="H155" s="134" t="s">
        <v>1363</v>
      </c>
      <c r="I155" s="134" t="s">
        <v>423</v>
      </c>
      <c r="J155" s="118" t="s">
        <v>469</v>
      </c>
      <c r="K155" s="106"/>
      <c r="L155" s="106"/>
      <c r="M155" s="150" t="s">
        <v>1466</v>
      </c>
      <c r="N155" s="127" t="s">
        <v>366</v>
      </c>
      <c r="O155" s="127" t="s">
        <v>950</v>
      </c>
      <c r="P155" s="82" t="s">
        <v>382</v>
      </c>
      <c r="Q155" s="103" t="s">
        <v>399</v>
      </c>
      <c r="R155" s="157" t="s">
        <v>1435</v>
      </c>
    </row>
    <row r="156" spans="1:18" ht="24">
      <c r="A156" s="144" t="s">
        <v>1304</v>
      </c>
      <c r="B156" s="129" t="s">
        <v>1411</v>
      </c>
      <c r="C156" s="134" t="s">
        <v>439</v>
      </c>
      <c r="D156" s="106"/>
      <c r="E156" s="107" t="s">
        <v>716</v>
      </c>
      <c r="F156" s="107" t="s">
        <v>717</v>
      </c>
      <c r="G156" s="99" t="s">
        <v>670</v>
      </c>
      <c r="H156" s="134" t="s">
        <v>1362</v>
      </c>
      <c r="I156" s="134" t="s">
        <v>423</v>
      </c>
      <c r="J156" s="118" t="s">
        <v>469</v>
      </c>
      <c r="K156" s="106"/>
      <c r="L156" s="106"/>
      <c r="M156" s="150" t="s">
        <v>1466</v>
      </c>
      <c r="N156" s="127" t="s">
        <v>366</v>
      </c>
      <c r="O156" s="127" t="s">
        <v>952</v>
      </c>
      <c r="P156" s="82" t="s">
        <v>383</v>
      </c>
      <c r="Q156" s="103" t="s">
        <v>399</v>
      </c>
      <c r="R156" s="157" t="s">
        <v>1109</v>
      </c>
    </row>
    <row r="157" spans="1:18" ht="24">
      <c r="A157" s="144" t="s">
        <v>1305</v>
      </c>
      <c r="B157" s="129" t="s">
        <v>1408</v>
      </c>
      <c r="C157" s="134" t="s">
        <v>439</v>
      </c>
      <c r="D157" s="106"/>
      <c r="E157" s="107" t="s">
        <v>718</v>
      </c>
      <c r="F157" s="107" t="s">
        <v>719</v>
      </c>
      <c r="G157" s="99" t="s">
        <v>670</v>
      </c>
      <c r="H157" s="134" t="s">
        <v>1361</v>
      </c>
      <c r="I157" s="134" t="s">
        <v>423</v>
      </c>
      <c r="J157" s="118" t="s">
        <v>469</v>
      </c>
      <c r="K157" s="106"/>
      <c r="L157" s="106"/>
      <c r="M157" s="150" t="s">
        <v>1466</v>
      </c>
      <c r="N157" s="127" t="s">
        <v>366</v>
      </c>
      <c r="O157" s="127" t="s">
        <v>956</v>
      </c>
      <c r="P157" s="82" t="s">
        <v>385</v>
      </c>
      <c r="Q157" s="103" t="s">
        <v>399</v>
      </c>
      <c r="R157" s="157" t="s">
        <v>1435</v>
      </c>
    </row>
    <row r="158" spans="1:18" ht="24">
      <c r="A158" s="144" t="s">
        <v>1306</v>
      </c>
      <c r="B158" s="129" t="s">
        <v>1412</v>
      </c>
      <c r="C158" s="134" t="s">
        <v>439</v>
      </c>
      <c r="D158" s="106"/>
      <c r="E158" s="107" t="s">
        <v>720</v>
      </c>
      <c r="F158" s="107"/>
      <c r="G158" s="99" t="s">
        <v>670</v>
      </c>
      <c r="H158" s="134" t="s">
        <v>1361</v>
      </c>
      <c r="I158" s="134" t="s">
        <v>423</v>
      </c>
      <c r="J158" s="118" t="s">
        <v>469</v>
      </c>
      <c r="K158" s="106"/>
      <c r="L158" s="106"/>
      <c r="M158" s="150" t="s">
        <v>1466</v>
      </c>
      <c r="N158" s="127" t="s">
        <v>365</v>
      </c>
      <c r="O158" s="127" t="s">
        <v>926</v>
      </c>
      <c r="P158" s="82" t="s">
        <v>374</v>
      </c>
      <c r="Q158" s="103" t="s">
        <v>429</v>
      </c>
      <c r="R158" s="157" t="s">
        <v>1435</v>
      </c>
    </row>
    <row r="159" spans="1:18" ht="24">
      <c r="A159" s="144" t="s">
        <v>1307</v>
      </c>
      <c r="B159" s="129" t="s">
        <v>1412</v>
      </c>
      <c r="C159" s="134" t="s">
        <v>439</v>
      </c>
      <c r="D159" s="106"/>
      <c r="E159" s="107" t="s">
        <v>721</v>
      </c>
      <c r="F159" s="107" t="s">
        <v>722</v>
      </c>
      <c r="G159" s="99" t="s">
        <v>670</v>
      </c>
      <c r="H159" s="134" t="s">
        <v>1361</v>
      </c>
      <c r="I159" s="134" t="s">
        <v>423</v>
      </c>
      <c r="J159" s="118" t="s">
        <v>469</v>
      </c>
      <c r="K159" s="106"/>
      <c r="L159" s="106"/>
      <c r="M159" s="150" t="s">
        <v>1466</v>
      </c>
      <c r="N159" s="127" t="s">
        <v>365</v>
      </c>
      <c r="O159" s="127" t="s">
        <v>926</v>
      </c>
      <c r="P159" s="82" t="s">
        <v>374</v>
      </c>
      <c r="Q159" s="103" t="s">
        <v>429</v>
      </c>
      <c r="R159" s="157" t="s">
        <v>1435</v>
      </c>
    </row>
    <row r="160" spans="1:18" ht="36">
      <c r="A160" s="144" t="s">
        <v>1308</v>
      </c>
      <c r="B160" s="129" t="s">
        <v>1412</v>
      </c>
      <c r="C160" s="134" t="s">
        <v>439</v>
      </c>
      <c r="D160" s="106"/>
      <c r="E160" s="107" t="s">
        <v>723</v>
      </c>
      <c r="F160" s="107" t="s">
        <v>724</v>
      </c>
      <c r="G160" s="99" t="s">
        <v>670</v>
      </c>
      <c r="H160" s="134" t="s">
        <v>1359</v>
      </c>
      <c r="I160" s="134" t="s">
        <v>423</v>
      </c>
      <c r="J160" s="118" t="s">
        <v>469</v>
      </c>
      <c r="K160" s="106"/>
      <c r="L160" s="106"/>
      <c r="M160" s="150" t="s">
        <v>1466</v>
      </c>
      <c r="N160" s="127" t="s">
        <v>365</v>
      </c>
      <c r="O160" s="127" t="s">
        <v>930</v>
      </c>
      <c r="P160" s="82" t="s">
        <v>375</v>
      </c>
      <c r="Q160" s="103" t="s">
        <v>429</v>
      </c>
      <c r="R160" s="157" t="s">
        <v>1435</v>
      </c>
    </row>
    <row r="161" spans="1:18" ht="24">
      <c r="A161" s="144" t="s">
        <v>1309</v>
      </c>
      <c r="B161" s="129" t="s">
        <v>1413</v>
      </c>
      <c r="C161" s="134" t="s">
        <v>439</v>
      </c>
      <c r="D161" s="106"/>
      <c r="E161" s="107" t="s">
        <v>725</v>
      </c>
      <c r="F161" s="107" t="s">
        <v>726</v>
      </c>
      <c r="G161" s="99" t="s">
        <v>670</v>
      </c>
      <c r="H161" s="134" t="s">
        <v>1361</v>
      </c>
      <c r="I161" s="134" t="s">
        <v>423</v>
      </c>
      <c r="J161" s="118" t="s">
        <v>469</v>
      </c>
      <c r="K161" s="106"/>
      <c r="L161" s="106"/>
      <c r="M161" s="150" t="s">
        <v>1466</v>
      </c>
      <c r="N161" s="127" t="s">
        <v>365</v>
      </c>
      <c r="O161" s="127" t="s">
        <v>940</v>
      </c>
      <c r="P161" s="82" t="s">
        <v>379</v>
      </c>
      <c r="Q161" s="103" t="s">
        <v>429</v>
      </c>
      <c r="R161" s="157" t="s">
        <v>1435</v>
      </c>
    </row>
    <row r="162" spans="1:18" ht="24">
      <c r="A162" s="144" t="s">
        <v>1310</v>
      </c>
      <c r="B162" s="129" t="s">
        <v>1395</v>
      </c>
      <c r="C162" s="134" t="s">
        <v>439</v>
      </c>
      <c r="D162" s="106"/>
      <c r="E162" s="107" t="s">
        <v>727</v>
      </c>
      <c r="F162" s="107" t="s">
        <v>728</v>
      </c>
      <c r="G162" s="99" t="s">
        <v>670</v>
      </c>
      <c r="H162" s="134" t="s">
        <v>1363</v>
      </c>
      <c r="I162" s="134" t="s">
        <v>423</v>
      </c>
      <c r="J162" s="118" t="s">
        <v>463</v>
      </c>
      <c r="K162" s="106" t="s">
        <v>459</v>
      </c>
      <c r="L162" s="106" t="s">
        <v>670</v>
      </c>
      <c r="M162" s="150" t="s">
        <v>1466</v>
      </c>
      <c r="N162" s="127" t="s">
        <v>367</v>
      </c>
      <c r="O162" s="127" t="s">
        <v>168</v>
      </c>
      <c r="P162" s="82" t="s">
        <v>169</v>
      </c>
      <c r="Q162" s="103" t="s">
        <v>399</v>
      </c>
      <c r="R162" s="157" t="s">
        <v>1109</v>
      </c>
    </row>
    <row r="163" spans="1:18" ht="24">
      <c r="A163" s="144" t="s">
        <v>1311</v>
      </c>
      <c r="B163" s="129" t="s">
        <v>1395</v>
      </c>
      <c r="C163" s="134" t="s">
        <v>439</v>
      </c>
      <c r="D163" s="106"/>
      <c r="E163" s="107" t="s">
        <v>727</v>
      </c>
      <c r="F163" s="107" t="s">
        <v>729</v>
      </c>
      <c r="G163" s="99" t="s">
        <v>670</v>
      </c>
      <c r="H163" s="134" t="s">
        <v>1363</v>
      </c>
      <c r="I163" s="134" t="s">
        <v>423</v>
      </c>
      <c r="J163" s="118" t="s">
        <v>1368</v>
      </c>
      <c r="K163" s="106"/>
      <c r="L163" s="106"/>
      <c r="M163" s="150" t="s">
        <v>1466</v>
      </c>
      <c r="N163" s="127" t="s">
        <v>367</v>
      </c>
      <c r="O163" s="127" t="s">
        <v>170</v>
      </c>
      <c r="P163" s="82" t="s">
        <v>171</v>
      </c>
      <c r="Q163" s="103" t="s">
        <v>399</v>
      </c>
      <c r="R163" s="157" t="s">
        <v>1435</v>
      </c>
    </row>
    <row r="164" spans="1:18" ht="24">
      <c r="A164" s="144" t="s">
        <v>1312</v>
      </c>
      <c r="B164" s="129" t="s">
        <v>1395</v>
      </c>
      <c r="C164" s="134" t="s">
        <v>439</v>
      </c>
      <c r="D164" s="106"/>
      <c r="E164" s="107" t="s">
        <v>727</v>
      </c>
      <c r="F164" s="107" t="s">
        <v>729</v>
      </c>
      <c r="G164" s="99" t="s">
        <v>670</v>
      </c>
      <c r="H164" s="134" t="s">
        <v>1363</v>
      </c>
      <c r="I164" s="134" t="s">
        <v>423</v>
      </c>
      <c r="J164" s="118" t="s">
        <v>1368</v>
      </c>
      <c r="K164" s="106"/>
      <c r="L164" s="106"/>
      <c r="M164" s="150" t="s">
        <v>1466</v>
      </c>
      <c r="N164" s="127" t="s">
        <v>367</v>
      </c>
      <c r="O164" s="127" t="s">
        <v>172</v>
      </c>
      <c r="P164" s="82" t="s">
        <v>173</v>
      </c>
      <c r="Q164" s="103" t="s">
        <v>399</v>
      </c>
      <c r="R164" s="157" t="s">
        <v>1435</v>
      </c>
    </row>
    <row r="165" spans="1:18" ht="24">
      <c r="A165" s="144" t="s">
        <v>1313</v>
      </c>
      <c r="B165" s="129" t="s">
        <v>1395</v>
      </c>
      <c r="C165" s="134" t="s">
        <v>439</v>
      </c>
      <c r="D165" s="106"/>
      <c r="E165" s="107" t="s">
        <v>727</v>
      </c>
      <c r="F165" s="107" t="s">
        <v>729</v>
      </c>
      <c r="G165" s="99" t="s">
        <v>670</v>
      </c>
      <c r="H165" s="134" t="s">
        <v>1363</v>
      </c>
      <c r="I165" s="134" t="s">
        <v>423</v>
      </c>
      <c r="J165" s="118" t="s">
        <v>1368</v>
      </c>
      <c r="K165" s="106"/>
      <c r="L165" s="106"/>
      <c r="M165" s="150" t="s">
        <v>1466</v>
      </c>
      <c r="N165" s="127" t="s">
        <v>368</v>
      </c>
      <c r="O165" s="127" t="s">
        <v>442</v>
      </c>
      <c r="P165" s="82" t="s">
        <v>181</v>
      </c>
      <c r="Q165" s="103" t="s">
        <v>399</v>
      </c>
      <c r="R165" s="157" t="s">
        <v>1435</v>
      </c>
    </row>
    <row r="166" spans="1:18" ht="24">
      <c r="A166" s="144" t="s">
        <v>1314</v>
      </c>
      <c r="B166" s="129" t="s">
        <v>1395</v>
      </c>
      <c r="C166" s="134" t="s">
        <v>439</v>
      </c>
      <c r="D166" s="106"/>
      <c r="E166" s="107" t="s">
        <v>727</v>
      </c>
      <c r="F166" s="107" t="s">
        <v>729</v>
      </c>
      <c r="G166" s="99" t="s">
        <v>670</v>
      </c>
      <c r="H166" s="134" t="s">
        <v>1363</v>
      </c>
      <c r="I166" s="134" t="s">
        <v>423</v>
      </c>
      <c r="J166" s="118" t="s">
        <v>1368</v>
      </c>
      <c r="K166" s="106"/>
      <c r="L166" s="106"/>
      <c r="M166" s="150" t="s">
        <v>1466</v>
      </c>
      <c r="N166" s="127" t="s">
        <v>368</v>
      </c>
      <c r="O166" s="127" t="s">
        <v>447</v>
      </c>
      <c r="P166" s="82" t="s">
        <v>183</v>
      </c>
      <c r="Q166" s="103" t="s">
        <v>399</v>
      </c>
      <c r="R166" s="157" t="s">
        <v>1435</v>
      </c>
    </row>
    <row r="167" spans="1:18" ht="24">
      <c r="A167" s="144" t="s">
        <v>1315</v>
      </c>
      <c r="B167" s="129" t="s">
        <v>1395</v>
      </c>
      <c r="C167" s="134" t="s">
        <v>439</v>
      </c>
      <c r="D167" s="106"/>
      <c r="E167" s="107" t="s">
        <v>727</v>
      </c>
      <c r="F167" s="107" t="s">
        <v>729</v>
      </c>
      <c r="G167" s="99" t="s">
        <v>670</v>
      </c>
      <c r="H167" s="134" t="s">
        <v>1363</v>
      </c>
      <c r="I167" s="134" t="s">
        <v>423</v>
      </c>
      <c r="J167" s="118" t="s">
        <v>1368</v>
      </c>
      <c r="K167" s="106"/>
      <c r="L167" s="106"/>
      <c r="M167" s="150" t="s">
        <v>1466</v>
      </c>
      <c r="N167" s="127" t="s">
        <v>368</v>
      </c>
      <c r="O167" s="127" t="s">
        <v>443</v>
      </c>
      <c r="P167" s="82" t="s">
        <v>185</v>
      </c>
      <c r="Q167" s="103" t="s">
        <v>399</v>
      </c>
      <c r="R167" s="157" t="s">
        <v>1435</v>
      </c>
    </row>
    <row r="168" spans="1:18" ht="24">
      <c r="A168" s="144" t="s">
        <v>1316</v>
      </c>
      <c r="B168" s="129" t="s">
        <v>1395</v>
      </c>
      <c r="C168" s="134" t="s">
        <v>439</v>
      </c>
      <c r="D168" s="106"/>
      <c r="E168" s="107" t="s">
        <v>727</v>
      </c>
      <c r="F168" s="107" t="s">
        <v>728</v>
      </c>
      <c r="G168" s="99" t="s">
        <v>670</v>
      </c>
      <c r="H168" s="134" t="s">
        <v>1363</v>
      </c>
      <c r="I168" s="134" t="s">
        <v>423</v>
      </c>
      <c r="J168" s="118" t="s">
        <v>1368</v>
      </c>
      <c r="K168" s="106"/>
      <c r="L168" s="106"/>
      <c r="M168" s="150" t="s">
        <v>1466</v>
      </c>
      <c r="N168" s="127" t="s">
        <v>369</v>
      </c>
      <c r="O168" s="127" t="s">
        <v>192</v>
      </c>
      <c r="P168" s="82" t="s">
        <v>193</v>
      </c>
      <c r="Q168" s="103" t="s">
        <v>399</v>
      </c>
      <c r="R168" s="157" t="s">
        <v>1435</v>
      </c>
    </row>
    <row r="169" spans="1:18" ht="24">
      <c r="A169" s="144" t="s">
        <v>1317</v>
      </c>
      <c r="B169" s="129" t="s">
        <v>1395</v>
      </c>
      <c r="C169" s="134" t="s">
        <v>439</v>
      </c>
      <c r="D169" s="106"/>
      <c r="E169" s="107" t="s">
        <v>727</v>
      </c>
      <c r="F169" s="107" t="s">
        <v>729</v>
      </c>
      <c r="G169" s="99" t="s">
        <v>670</v>
      </c>
      <c r="H169" s="134" t="s">
        <v>1363</v>
      </c>
      <c r="I169" s="134" t="s">
        <v>423</v>
      </c>
      <c r="J169" s="118" t="s">
        <v>1368</v>
      </c>
      <c r="K169" s="106"/>
      <c r="L169" s="106"/>
      <c r="M169" s="150" t="s">
        <v>1466</v>
      </c>
      <c r="N169" s="127" t="s">
        <v>369</v>
      </c>
      <c r="O169" s="127" t="s">
        <v>194</v>
      </c>
      <c r="P169" s="82" t="s">
        <v>195</v>
      </c>
      <c r="Q169" s="103" t="s">
        <v>399</v>
      </c>
      <c r="R169" s="157" t="s">
        <v>1435</v>
      </c>
    </row>
    <row r="170" spans="1:18" ht="24">
      <c r="A170" s="144" t="s">
        <v>1318</v>
      </c>
      <c r="B170" s="129" t="s">
        <v>1395</v>
      </c>
      <c r="C170" s="134" t="s">
        <v>439</v>
      </c>
      <c r="D170" s="106"/>
      <c r="E170" s="107" t="s">
        <v>727</v>
      </c>
      <c r="F170" s="107" t="s">
        <v>729</v>
      </c>
      <c r="G170" s="99" t="s">
        <v>670</v>
      </c>
      <c r="H170" s="134" t="s">
        <v>1363</v>
      </c>
      <c r="I170" s="134" t="s">
        <v>423</v>
      </c>
      <c r="J170" s="118" t="s">
        <v>1368</v>
      </c>
      <c r="K170" s="106"/>
      <c r="L170" s="106"/>
      <c r="M170" s="150" t="s">
        <v>1466</v>
      </c>
      <c r="N170" s="127" t="s">
        <v>369</v>
      </c>
      <c r="O170" s="127" t="s">
        <v>196</v>
      </c>
      <c r="P170" s="82" t="s">
        <v>197</v>
      </c>
      <c r="Q170" s="103" t="s">
        <v>399</v>
      </c>
      <c r="R170" s="157" t="s">
        <v>1435</v>
      </c>
    </row>
    <row r="171" spans="1:18" ht="24">
      <c r="A171" s="144" t="s">
        <v>1319</v>
      </c>
      <c r="B171" s="129" t="s">
        <v>1395</v>
      </c>
      <c r="C171" s="134" t="s">
        <v>439</v>
      </c>
      <c r="D171" s="106"/>
      <c r="E171" s="107" t="s">
        <v>727</v>
      </c>
      <c r="F171" s="107" t="s">
        <v>729</v>
      </c>
      <c r="G171" s="99" t="s">
        <v>670</v>
      </c>
      <c r="H171" s="134" t="s">
        <v>1363</v>
      </c>
      <c r="I171" s="134" t="s">
        <v>423</v>
      </c>
      <c r="J171" s="118" t="s">
        <v>1368</v>
      </c>
      <c r="K171" s="106"/>
      <c r="L171" s="106"/>
      <c r="M171" s="150" t="s">
        <v>1466</v>
      </c>
      <c r="N171" s="127" t="s">
        <v>370</v>
      </c>
      <c r="O171" s="127" t="s">
        <v>445</v>
      </c>
      <c r="P171" s="82" t="s">
        <v>394</v>
      </c>
      <c r="Q171" s="103" t="s">
        <v>399</v>
      </c>
      <c r="R171" s="157" t="s">
        <v>1435</v>
      </c>
    </row>
    <row r="172" spans="1:18" ht="24">
      <c r="A172" s="144" t="s">
        <v>1320</v>
      </c>
      <c r="B172" s="129" t="s">
        <v>1395</v>
      </c>
      <c r="C172" s="134" t="s">
        <v>439</v>
      </c>
      <c r="D172" s="106"/>
      <c r="E172" s="107" t="s">
        <v>727</v>
      </c>
      <c r="F172" s="107" t="s">
        <v>729</v>
      </c>
      <c r="G172" s="99" t="s">
        <v>670</v>
      </c>
      <c r="H172" s="134" t="s">
        <v>1363</v>
      </c>
      <c r="I172" s="134" t="s">
        <v>423</v>
      </c>
      <c r="J172" s="118" t="s">
        <v>1368</v>
      </c>
      <c r="K172" s="106"/>
      <c r="L172" s="106"/>
      <c r="M172" s="150" t="s">
        <v>1466</v>
      </c>
      <c r="N172" s="127" t="s">
        <v>370</v>
      </c>
      <c r="O172" s="127" t="s">
        <v>448</v>
      </c>
      <c r="P172" s="82" t="s">
        <v>395</v>
      </c>
      <c r="Q172" s="103" t="s">
        <v>399</v>
      </c>
      <c r="R172" s="157" t="s">
        <v>1435</v>
      </c>
    </row>
    <row r="173" spans="1:18" ht="24">
      <c r="A173" s="144" t="s">
        <v>1321</v>
      </c>
      <c r="B173" s="129" t="s">
        <v>1395</v>
      </c>
      <c r="C173" s="134" t="s">
        <v>439</v>
      </c>
      <c r="D173" s="106"/>
      <c r="E173" s="107" t="s">
        <v>727</v>
      </c>
      <c r="F173" s="107" t="s">
        <v>729</v>
      </c>
      <c r="G173" s="99" t="s">
        <v>670</v>
      </c>
      <c r="H173" s="134" t="s">
        <v>1363</v>
      </c>
      <c r="I173" s="134" t="s">
        <v>423</v>
      </c>
      <c r="J173" s="118" t="s">
        <v>1368</v>
      </c>
      <c r="K173" s="106"/>
      <c r="L173" s="106"/>
      <c r="M173" s="150" t="s">
        <v>1466</v>
      </c>
      <c r="N173" s="127" t="s">
        <v>370</v>
      </c>
      <c r="O173" s="127" t="s">
        <v>449</v>
      </c>
      <c r="P173" s="82" t="s">
        <v>396</v>
      </c>
      <c r="Q173" s="103" t="s">
        <v>399</v>
      </c>
      <c r="R173" s="157" t="s">
        <v>1435</v>
      </c>
    </row>
    <row r="174" spans="1:18" ht="24">
      <c r="A174" s="144" t="s">
        <v>1322</v>
      </c>
      <c r="B174" s="129" t="s">
        <v>1395</v>
      </c>
      <c r="C174" s="134" t="s">
        <v>439</v>
      </c>
      <c r="D174" s="106"/>
      <c r="E174" s="107" t="s">
        <v>727</v>
      </c>
      <c r="F174" s="107" t="s">
        <v>729</v>
      </c>
      <c r="G174" s="99" t="s">
        <v>670</v>
      </c>
      <c r="H174" s="134" t="s">
        <v>1363</v>
      </c>
      <c r="I174" s="134" t="s">
        <v>423</v>
      </c>
      <c r="J174" s="118" t="s">
        <v>1368</v>
      </c>
      <c r="K174" s="106"/>
      <c r="L174" s="106"/>
      <c r="M174" s="150" t="s">
        <v>1466</v>
      </c>
      <c r="N174" s="127" t="s">
        <v>366</v>
      </c>
      <c r="O174" s="127" t="s">
        <v>950</v>
      </c>
      <c r="P174" s="82" t="s">
        <v>382</v>
      </c>
      <c r="Q174" s="103" t="s">
        <v>399</v>
      </c>
      <c r="R174" s="157" t="s">
        <v>1435</v>
      </c>
    </row>
    <row r="175" spans="1:18" ht="24">
      <c r="A175" s="144" t="s">
        <v>1323</v>
      </c>
      <c r="B175" s="129" t="s">
        <v>1395</v>
      </c>
      <c r="C175" s="134" t="s">
        <v>439</v>
      </c>
      <c r="D175" s="106"/>
      <c r="E175" s="107" t="s">
        <v>727</v>
      </c>
      <c r="F175" s="107" t="s">
        <v>729</v>
      </c>
      <c r="G175" s="99" t="s">
        <v>670</v>
      </c>
      <c r="H175" s="134" t="s">
        <v>1363</v>
      </c>
      <c r="I175" s="134" t="s">
        <v>423</v>
      </c>
      <c r="J175" s="118" t="s">
        <v>1368</v>
      </c>
      <c r="K175" s="106"/>
      <c r="L175" s="106"/>
      <c r="M175" s="150" t="s">
        <v>1466</v>
      </c>
      <c r="N175" s="127" t="s">
        <v>366</v>
      </c>
      <c r="O175" s="127" t="s">
        <v>952</v>
      </c>
      <c r="P175" s="82" t="s">
        <v>383</v>
      </c>
      <c r="Q175" s="103" t="s">
        <v>399</v>
      </c>
      <c r="R175" s="157" t="s">
        <v>1435</v>
      </c>
    </row>
    <row r="176" spans="1:18" ht="24">
      <c r="A176" s="144" t="s">
        <v>1324</v>
      </c>
      <c r="B176" s="129" t="s">
        <v>1395</v>
      </c>
      <c r="C176" s="134" t="s">
        <v>439</v>
      </c>
      <c r="D176" s="106"/>
      <c r="E176" s="107" t="s">
        <v>727</v>
      </c>
      <c r="F176" s="107" t="s">
        <v>729</v>
      </c>
      <c r="G176" s="99" t="s">
        <v>670</v>
      </c>
      <c r="H176" s="134" t="s">
        <v>1363</v>
      </c>
      <c r="I176" s="134" t="s">
        <v>423</v>
      </c>
      <c r="J176" s="118" t="s">
        <v>1368</v>
      </c>
      <c r="K176" s="106"/>
      <c r="L176" s="106"/>
      <c r="M176" s="150" t="s">
        <v>1466</v>
      </c>
      <c r="N176" s="127" t="s">
        <v>365</v>
      </c>
      <c r="O176" s="127" t="s">
        <v>926</v>
      </c>
      <c r="P176" s="82" t="s">
        <v>374</v>
      </c>
      <c r="Q176" s="103" t="s">
        <v>399</v>
      </c>
      <c r="R176" s="157" t="s">
        <v>1435</v>
      </c>
    </row>
    <row r="177" spans="1:18" ht="24">
      <c r="A177" s="144" t="s">
        <v>1325</v>
      </c>
      <c r="B177" s="129" t="s">
        <v>1395</v>
      </c>
      <c r="C177" s="134" t="s">
        <v>439</v>
      </c>
      <c r="D177" s="106"/>
      <c r="E177" s="107" t="s">
        <v>727</v>
      </c>
      <c r="F177" s="107" t="s">
        <v>729</v>
      </c>
      <c r="G177" s="99" t="s">
        <v>670</v>
      </c>
      <c r="H177" s="134" t="s">
        <v>1363</v>
      </c>
      <c r="I177" s="134" t="s">
        <v>423</v>
      </c>
      <c r="J177" s="118" t="s">
        <v>1368</v>
      </c>
      <c r="K177" s="106"/>
      <c r="L177" s="106"/>
      <c r="M177" s="150" t="s">
        <v>1466</v>
      </c>
      <c r="N177" s="127" t="s">
        <v>365</v>
      </c>
      <c r="O177" s="127" t="s">
        <v>930</v>
      </c>
      <c r="P177" s="82" t="s">
        <v>375</v>
      </c>
      <c r="Q177" s="103" t="s">
        <v>399</v>
      </c>
      <c r="R177" s="157" t="s">
        <v>1435</v>
      </c>
    </row>
    <row r="178" spans="1:18" ht="24">
      <c r="A178" s="144" t="s">
        <v>1326</v>
      </c>
      <c r="B178" s="129" t="s">
        <v>1395</v>
      </c>
      <c r="C178" s="134" t="s">
        <v>439</v>
      </c>
      <c r="D178" s="106"/>
      <c r="E178" s="107" t="s">
        <v>727</v>
      </c>
      <c r="F178" s="107" t="s">
        <v>729</v>
      </c>
      <c r="G178" s="99" t="s">
        <v>670</v>
      </c>
      <c r="H178" s="134" t="s">
        <v>1363</v>
      </c>
      <c r="I178" s="134" t="s">
        <v>423</v>
      </c>
      <c r="J178" s="118" t="s">
        <v>1368</v>
      </c>
      <c r="K178" s="106"/>
      <c r="L178" s="106"/>
      <c r="M178" s="150" t="s">
        <v>1466</v>
      </c>
      <c r="N178" s="127" t="s">
        <v>365</v>
      </c>
      <c r="O178" s="127" t="s">
        <v>932</v>
      </c>
      <c r="P178" s="82" t="s">
        <v>376</v>
      </c>
      <c r="Q178" s="103" t="s">
        <v>399</v>
      </c>
      <c r="R178" s="157" t="s">
        <v>1435</v>
      </c>
    </row>
    <row r="179" spans="1:18" ht="24">
      <c r="A179" s="144" t="s">
        <v>1327</v>
      </c>
      <c r="B179" s="129" t="s">
        <v>678</v>
      </c>
      <c r="C179" s="134" t="s">
        <v>699</v>
      </c>
      <c r="D179" s="106"/>
      <c r="E179" s="107" t="s">
        <v>730</v>
      </c>
      <c r="F179" s="107"/>
      <c r="G179" s="99" t="s">
        <v>699</v>
      </c>
      <c r="H179" s="4" t="s">
        <v>1369</v>
      </c>
      <c r="I179" s="104" t="s">
        <v>1370</v>
      </c>
      <c r="J179" s="118" t="s">
        <v>456</v>
      </c>
      <c r="K179" s="106" t="s">
        <v>468</v>
      </c>
      <c r="L179" s="106" t="s">
        <v>1434</v>
      </c>
      <c r="M179" s="150" t="s">
        <v>1466</v>
      </c>
      <c r="N179" s="127" t="s">
        <v>367</v>
      </c>
      <c r="O179" s="127" t="s">
        <v>168</v>
      </c>
      <c r="P179" s="82" t="s">
        <v>169</v>
      </c>
      <c r="Q179" s="103" t="s">
        <v>433</v>
      </c>
      <c r="R179" s="157" t="s">
        <v>1435</v>
      </c>
    </row>
    <row r="180" spans="1:18" ht="24">
      <c r="A180" s="144" t="s">
        <v>1328</v>
      </c>
      <c r="B180" s="129" t="s">
        <v>678</v>
      </c>
      <c r="C180" s="134" t="s">
        <v>699</v>
      </c>
      <c r="D180" s="106"/>
      <c r="E180" s="107" t="s">
        <v>730</v>
      </c>
      <c r="F180" s="107"/>
      <c r="G180" s="99" t="s">
        <v>699</v>
      </c>
      <c r="H180" s="4" t="s">
        <v>1369</v>
      </c>
      <c r="I180" s="104" t="s">
        <v>1370</v>
      </c>
      <c r="J180" s="118" t="s">
        <v>456</v>
      </c>
      <c r="K180" s="106" t="s">
        <v>468</v>
      </c>
      <c r="L180" s="106" t="s">
        <v>1434</v>
      </c>
      <c r="M180" s="150" t="s">
        <v>1466</v>
      </c>
      <c r="N180" s="127" t="s">
        <v>367</v>
      </c>
      <c r="O180" s="127" t="s">
        <v>170</v>
      </c>
      <c r="P180" s="82" t="s">
        <v>171</v>
      </c>
      <c r="Q180" s="103" t="s">
        <v>433</v>
      </c>
      <c r="R180" s="157" t="s">
        <v>1435</v>
      </c>
    </row>
    <row r="181" spans="1:18" ht="24">
      <c r="A181" s="144" t="s">
        <v>1329</v>
      </c>
      <c r="B181" s="129" t="s">
        <v>678</v>
      </c>
      <c r="C181" s="134" t="s">
        <v>699</v>
      </c>
      <c r="D181" s="106"/>
      <c r="E181" s="107" t="s">
        <v>730</v>
      </c>
      <c r="F181" s="107"/>
      <c r="G181" s="99" t="s">
        <v>699</v>
      </c>
      <c r="H181" s="4" t="s">
        <v>1369</v>
      </c>
      <c r="I181" s="104" t="s">
        <v>1370</v>
      </c>
      <c r="J181" s="118" t="s">
        <v>456</v>
      </c>
      <c r="K181" s="106" t="s">
        <v>468</v>
      </c>
      <c r="L181" s="106" t="s">
        <v>1434</v>
      </c>
      <c r="M181" s="150" t="s">
        <v>1466</v>
      </c>
      <c r="N181" s="127" t="s">
        <v>367</v>
      </c>
      <c r="O181" s="127" t="s">
        <v>172</v>
      </c>
      <c r="P181" s="82" t="s">
        <v>173</v>
      </c>
      <c r="Q181" s="103" t="s">
        <v>433</v>
      </c>
      <c r="R181" s="157" t="s">
        <v>1435</v>
      </c>
    </row>
    <row r="182" spans="1:18" ht="24">
      <c r="A182" s="144" t="s">
        <v>1330</v>
      </c>
      <c r="B182" s="129" t="s">
        <v>678</v>
      </c>
      <c r="C182" s="134" t="s">
        <v>699</v>
      </c>
      <c r="D182" s="106"/>
      <c r="E182" s="107" t="s">
        <v>730</v>
      </c>
      <c r="F182" s="107"/>
      <c r="G182" s="99" t="s">
        <v>699</v>
      </c>
      <c r="H182" s="4" t="s">
        <v>1369</v>
      </c>
      <c r="I182" s="104" t="s">
        <v>1370</v>
      </c>
      <c r="J182" s="118" t="s">
        <v>456</v>
      </c>
      <c r="K182" s="106" t="s">
        <v>468</v>
      </c>
      <c r="L182" s="106" t="s">
        <v>1434</v>
      </c>
      <c r="M182" s="150" t="s">
        <v>1466</v>
      </c>
      <c r="N182" s="127" t="s">
        <v>367</v>
      </c>
      <c r="O182" s="127" t="s">
        <v>174</v>
      </c>
      <c r="P182" s="82" t="s">
        <v>175</v>
      </c>
      <c r="Q182" s="103" t="s">
        <v>433</v>
      </c>
      <c r="R182" s="157" t="s">
        <v>1435</v>
      </c>
    </row>
    <row r="183" spans="1:18" ht="24">
      <c r="A183" s="144" t="s">
        <v>1331</v>
      </c>
      <c r="B183" s="129" t="s">
        <v>678</v>
      </c>
      <c r="C183" s="134" t="s">
        <v>699</v>
      </c>
      <c r="D183" s="106"/>
      <c r="E183" s="107" t="s">
        <v>730</v>
      </c>
      <c r="F183" s="107"/>
      <c r="G183" s="99" t="s">
        <v>699</v>
      </c>
      <c r="H183" s="4" t="s">
        <v>1369</v>
      </c>
      <c r="I183" s="104" t="s">
        <v>1370</v>
      </c>
      <c r="J183" s="118" t="s">
        <v>456</v>
      </c>
      <c r="K183" s="106" t="s">
        <v>468</v>
      </c>
      <c r="L183" s="106" t="s">
        <v>1434</v>
      </c>
      <c r="M183" s="150" t="s">
        <v>1466</v>
      </c>
      <c r="N183" s="127" t="s">
        <v>367</v>
      </c>
      <c r="O183" s="127" t="s">
        <v>450</v>
      </c>
      <c r="P183" s="82" t="s">
        <v>388</v>
      </c>
      <c r="Q183" s="103" t="s">
        <v>433</v>
      </c>
      <c r="R183" s="157" t="s">
        <v>1435</v>
      </c>
    </row>
    <row r="184" spans="1:18" ht="24">
      <c r="A184" s="144" t="s">
        <v>1332</v>
      </c>
      <c r="B184" s="129" t="s">
        <v>678</v>
      </c>
      <c r="C184" s="134" t="s">
        <v>699</v>
      </c>
      <c r="D184" s="106"/>
      <c r="E184" s="107" t="s">
        <v>730</v>
      </c>
      <c r="F184" s="107"/>
      <c r="G184" s="99" t="s">
        <v>699</v>
      </c>
      <c r="H184" s="4" t="s">
        <v>1369</v>
      </c>
      <c r="I184" s="104" t="s">
        <v>1370</v>
      </c>
      <c r="J184" s="118" t="s">
        <v>456</v>
      </c>
      <c r="K184" s="106" t="s">
        <v>468</v>
      </c>
      <c r="L184" s="106" t="s">
        <v>1434</v>
      </c>
      <c r="M184" s="150" t="s">
        <v>1466</v>
      </c>
      <c r="N184" s="127" t="s">
        <v>368</v>
      </c>
      <c r="O184" s="127" t="s">
        <v>442</v>
      </c>
      <c r="P184" s="82" t="s">
        <v>181</v>
      </c>
      <c r="Q184" s="103" t="s">
        <v>433</v>
      </c>
      <c r="R184" s="157" t="s">
        <v>1435</v>
      </c>
    </row>
    <row r="185" spans="1:18" ht="24">
      <c r="A185" s="144" t="s">
        <v>1333</v>
      </c>
      <c r="B185" s="129" t="s">
        <v>678</v>
      </c>
      <c r="C185" s="134" t="s">
        <v>699</v>
      </c>
      <c r="D185" s="106"/>
      <c r="E185" s="107" t="s">
        <v>730</v>
      </c>
      <c r="F185" s="107"/>
      <c r="G185" s="99" t="s">
        <v>699</v>
      </c>
      <c r="H185" s="4" t="s">
        <v>1369</v>
      </c>
      <c r="I185" s="104" t="s">
        <v>1370</v>
      </c>
      <c r="J185" s="118" t="s">
        <v>456</v>
      </c>
      <c r="K185" s="106" t="s">
        <v>468</v>
      </c>
      <c r="L185" s="106" t="s">
        <v>1434</v>
      </c>
      <c r="M185" s="150" t="s">
        <v>1466</v>
      </c>
      <c r="N185" s="127" t="s">
        <v>368</v>
      </c>
      <c r="O185" s="127" t="s">
        <v>447</v>
      </c>
      <c r="P185" s="82" t="s">
        <v>183</v>
      </c>
      <c r="Q185" s="103" t="s">
        <v>433</v>
      </c>
      <c r="R185" s="157" t="s">
        <v>1435</v>
      </c>
    </row>
    <row r="186" spans="1:18" ht="24">
      <c r="A186" s="144" t="s">
        <v>1334</v>
      </c>
      <c r="B186" s="129" t="s">
        <v>678</v>
      </c>
      <c r="C186" s="134" t="s">
        <v>699</v>
      </c>
      <c r="D186" s="106"/>
      <c r="E186" s="107" t="s">
        <v>730</v>
      </c>
      <c r="F186" s="107"/>
      <c r="G186" s="99" t="s">
        <v>699</v>
      </c>
      <c r="H186" s="4" t="s">
        <v>1369</v>
      </c>
      <c r="I186" s="104" t="s">
        <v>1370</v>
      </c>
      <c r="J186" s="118" t="s">
        <v>456</v>
      </c>
      <c r="K186" s="106" t="s">
        <v>468</v>
      </c>
      <c r="L186" s="106" t="s">
        <v>1434</v>
      </c>
      <c r="M186" s="150" t="s">
        <v>1466</v>
      </c>
      <c r="N186" s="127" t="s">
        <v>368</v>
      </c>
      <c r="O186" s="127" t="s">
        <v>443</v>
      </c>
      <c r="P186" s="82" t="s">
        <v>185</v>
      </c>
      <c r="Q186" s="103" t="s">
        <v>433</v>
      </c>
      <c r="R186" s="157" t="s">
        <v>1435</v>
      </c>
    </row>
    <row r="187" spans="1:18" ht="24">
      <c r="A187" s="144" t="s">
        <v>1335</v>
      </c>
      <c r="B187" s="129" t="s">
        <v>678</v>
      </c>
      <c r="C187" s="134" t="s">
        <v>699</v>
      </c>
      <c r="D187" s="106"/>
      <c r="E187" s="107" t="s">
        <v>730</v>
      </c>
      <c r="F187" s="107"/>
      <c r="G187" s="99" t="s">
        <v>699</v>
      </c>
      <c r="H187" s="4" t="s">
        <v>1369</v>
      </c>
      <c r="I187" s="104" t="s">
        <v>1370</v>
      </c>
      <c r="J187" s="118" t="s">
        <v>456</v>
      </c>
      <c r="K187" s="106" t="s">
        <v>468</v>
      </c>
      <c r="L187" s="106" t="s">
        <v>1434</v>
      </c>
      <c r="M187" s="150" t="s">
        <v>1466</v>
      </c>
      <c r="N187" s="127" t="s">
        <v>368</v>
      </c>
      <c r="O187" s="127" t="s">
        <v>451</v>
      </c>
      <c r="P187" s="82" t="s">
        <v>187</v>
      </c>
      <c r="Q187" s="103" t="s">
        <v>433</v>
      </c>
      <c r="R187" s="157" t="s">
        <v>1435</v>
      </c>
    </row>
    <row r="188" spans="1:18" ht="24">
      <c r="A188" s="144" t="s">
        <v>1336</v>
      </c>
      <c r="B188" s="129" t="s">
        <v>678</v>
      </c>
      <c r="C188" s="134" t="s">
        <v>699</v>
      </c>
      <c r="D188" s="106"/>
      <c r="E188" s="107" t="s">
        <v>730</v>
      </c>
      <c r="F188" s="107"/>
      <c r="G188" s="99" t="s">
        <v>699</v>
      </c>
      <c r="H188" s="4" t="s">
        <v>1369</v>
      </c>
      <c r="I188" s="104" t="s">
        <v>1370</v>
      </c>
      <c r="J188" s="118" t="s">
        <v>456</v>
      </c>
      <c r="K188" s="106" t="s">
        <v>468</v>
      </c>
      <c r="L188" s="106" t="s">
        <v>1434</v>
      </c>
      <c r="M188" s="150" t="s">
        <v>1466</v>
      </c>
      <c r="N188" s="127" t="s">
        <v>368</v>
      </c>
      <c r="O188" s="127" t="s">
        <v>452</v>
      </c>
      <c r="P188" s="82" t="s">
        <v>390</v>
      </c>
      <c r="Q188" s="103" t="s">
        <v>433</v>
      </c>
      <c r="R188" s="157" t="s">
        <v>1435</v>
      </c>
    </row>
    <row r="189" spans="1:18" ht="24">
      <c r="A189" s="144" t="s">
        <v>1337</v>
      </c>
      <c r="B189" s="129" t="s">
        <v>678</v>
      </c>
      <c r="C189" s="134" t="s">
        <v>699</v>
      </c>
      <c r="D189" s="106"/>
      <c r="E189" s="107" t="s">
        <v>730</v>
      </c>
      <c r="F189" s="107"/>
      <c r="G189" s="99" t="s">
        <v>699</v>
      </c>
      <c r="H189" s="4" t="s">
        <v>1369</v>
      </c>
      <c r="I189" s="104" t="s">
        <v>1370</v>
      </c>
      <c r="J189" s="118" t="s">
        <v>456</v>
      </c>
      <c r="K189" s="106" t="s">
        <v>468</v>
      </c>
      <c r="L189" s="106" t="s">
        <v>1434</v>
      </c>
      <c r="M189" s="150" t="s">
        <v>1466</v>
      </c>
      <c r="N189" s="127" t="s">
        <v>369</v>
      </c>
      <c r="O189" s="127" t="s">
        <v>192</v>
      </c>
      <c r="P189" s="82" t="s">
        <v>193</v>
      </c>
      <c r="Q189" s="103" t="s">
        <v>433</v>
      </c>
      <c r="R189" s="157" t="s">
        <v>1435</v>
      </c>
    </row>
    <row r="190" spans="1:18" ht="24">
      <c r="A190" s="144" t="s">
        <v>1338</v>
      </c>
      <c r="B190" s="129" t="s">
        <v>678</v>
      </c>
      <c r="C190" s="134" t="s">
        <v>699</v>
      </c>
      <c r="D190" s="106"/>
      <c r="E190" s="107" t="s">
        <v>730</v>
      </c>
      <c r="F190" s="107"/>
      <c r="G190" s="99" t="s">
        <v>699</v>
      </c>
      <c r="H190" s="4" t="s">
        <v>1369</v>
      </c>
      <c r="I190" s="104" t="s">
        <v>1370</v>
      </c>
      <c r="J190" s="118" t="s">
        <v>456</v>
      </c>
      <c r="K190" s="106" t="s">
        <v>468</v>
      </c>
      <c r="L190" s="106" t="s">
        <v>1434</v>
      </c>
      <c r="M190" s="150" t="s">
        <v>1466</v>
      </c>
      <c r="N190" s="127" t="s">
        <v>369</v>
      </c>
      <c r="O190" s="127" t="s">
        <v>194</v>
      </c>
      <c r="P190" s="82" t="s">
        <v>195</v>
      </c>
      <c r="Q190" s="103" t="s">
        <v>433</v>
      </c>
      <c r="R190" s="157" t="s">
        <v>1435</v>
      </c>
    </row>
    <row r="191" spans="1:18" ht="24">
      <c r="A191" s="144" t="s">
        <v>1339</v>
      </c>
      <c r="B191" s="129" t="s">
        <v>678</v>
      </c>
      <c r="C191" s="134" t="s">
        <v>699</v>
      </c>
      <c r="D191" s="106"/>
      <c r="E191" s="107" t="s">
        <v>730</v>
      </c>
      <c r="F191" s="107"/>
      <c r="G191" s="99" t="s">
        <v>699</v>
      </c>
      <c r="H191" s="4" t="s">
        <v>1369</v>
      </c>
      <c r="I191" s="104" t="s">
        <v>1370</v>
      </c>
      <c r="J191" s="118" t="s">
        <v>456</v>
      </c>
      <c r="K191" s="106" t="s">
        <v>468</v>
      </c>
      <c r="L191" s="106" t="s">
        <v>1434</v>
      </c>
      <c r="M191" s="150" t="s">
        <v>1466</v>
      </c>
      <c r="N191" s="127" t="s">
        <v>369</v>
      </c>
      <c r="O191" s="127" t="s">
        <v>196</v>
      </c>
      <c r="P191" s="82" t="s">
        <v>197</v>
      </c>
      <c r="Q191" s="103" t="s">
        <v>433</v>
      </c>
      <c r="R191" s="157" t="s">
        <v>1435</v>
      </c>
    </row>
    <row r="192" spans="1:18" ht="24">
      <c r="A192" s="144" t="s">
        <v>1340</v>
      </c>
      <c r="B192" s="129" t="s">
        <v>678</v>
      </c>
      <c r="C192" s="134" t="s">
        <v>699</v>
      </c>
      <c r="D192" s="106"/>
      <c r="E192" s="107" t="s">
        <v>730</v>
      </c>
      <c r="F192" s="107"/>
      <c r="G192" s="99" t="s">
        <v>699</v>
      </c>
      <c r="H192" s="4" t="s">
        <v>1369</v>
      </c>
      <c r="I192" s="104" t="s">
        <v>1370</v>
      </c>
      <c r="J192" s="118" t="s">
        <v>456</v>
      </c>
      <c r="K192" s="106" t="s">
        <v>468</v>
      </c>
      <c r="L192" s="106" t="s">
        <v>1434</v>
      </c>
      <c r="M192" s="150" t="s">
        <v>1466</v>
      </c>
      <c r="N192" s="127" t="s">
        <v>369</v>
      </c>
      <c r="O192" s="127" t="s">
        <v>441</v>
      </c>
      <c r="P192" s="82" t="s">
        <v>391</v>
      </c>
      <c r="Q192" s="103" t="s">
        <v>433</v>
      </c>
      <c r="R192" s="157" t="s">
        <v>1435</v>
      </c>
    </row>
    <row r="193" spans="1:18" ht="24">
      <c r="A193" s="144" t="s">
        <v>1341</v>
      </c>
      <c r="B193" s="129" t="s">
        <v>678</v>
      </c>
      <c r="C193" s="134" t="s">
        <v>699</v>
      </c>
      <c r="D193" s="106"/>
      <c r="E193" s="107" t="s">
        <v>730</v>
      </c>
      <c r="F193" s="107"/>
      <c r="G193" s="99" t="s">
        <v>699</v>
      </c>
      <c r="H193" s="4" t="s">
        <v>1369</v>
      </c>
      <c r="I193" s="104" t="s">
        <v>1370</v>
      </c>
      <c r="J193" s="118" t="s">
        <v>456</v>
      </c>
      <c r="K193" s="106" t="s">
        <v>468</v>
      </c>
      <c r="L193" s="106" t="s">
        <v>1434</v>
      </c>
      <c r="M193" s="150" t="s">
        <v>1466</v>
      </c>
      <c r="N193" s="127" t="s">
        <v>369</v>
      </c>
      <c r="O193" s="127" t="s">
        <v>453</v>
      </c>
      <c r="P193" s="82" t="s">
        <v>393</v>
      </c>
      <c r="Q193" s="103" t="s">
        <v>433</v>
      </c>
      <c r="R193" s="157" t="s">
        <v>1435</v>
      </c>
    </row>
    <row r="194" spans="1:18" ht="24">
      <c r="A194" s="144" t="s">
        <v>1342</v>
      </c>
      <c r="B194" s="129" t="s">
        <v>678</v>
      </c>
      <c r="C194" s="134" t="s">
        <v>699</v>
      </c>
      <c r="D194" s="106"/>
      <c r="E194" s="107" t="s">
        <v>730</v>
      </c>
      <c r="F194" s="107"/>
      <c r="G194" s="99" t="s">
        <v>699</v>
      </c>
      <c r="H194" s="4" t="s">
        <v>1369</v>
      </c>
      <c r="I194" s="104" t="s">
        <v>1370</v>
      </c>
      <c r="J194" s="118" t="s">
        <v>456</v>
      </c>
      <c r="K194" s="106" t="s">
        <v>468</v>
      </c>
      <c r="L194" s="106" t="s">
        <v>1434</v>
      </c>
      <c r="M194" s="150" t="s">
        <v>1466</v>
      </c>
      <c r="N194" s="127" t="s">
        <v>370</v>
      </c>
      <c r="O194" s="127" t="s">
        <v>445</v>
      </c>
      <c r="P194" s="82" t="s">
        <v>394</v>
      </c>
      <c r="Q194" s="103" t="s">
        <v>433</v>
      </c>
      <c r="R194" s="157" t="s">
        <v>1435</v>
      </c>
    </row>
    <row r="195" spans="1:18" ht="24">
      <c r="A195" s="144" t="s">
        <v>1343</v>
      </c>
      <c r="B195" s="129" t="s">
        <v>678</v>
      </c>
      <c r="C195" s="134" t="s">
        <v>699</v>
      </c>
      <c r="D195" s="106"/>
      <c r="E195" s="107" t="s">
        <v>730</v>
      </c>
      <c r="F195" s="107"/>
      <c r="G195" s="99" t="s">
        <v>699</v>
      </c>
      <c r="H195" s="4" t="s">
        <v>1369</v>
      </c>
      <c r="I195" s="104" t="s">
        <v>1370</v>
      </c>
      <c r="J195" s="118" t="s">
        <v>456</v>
      </c>
      <c r="K195" s="106" t="s">
        <v>468</v>
      </c>
      <c r="L195" s="106" t="s">
        <v>1434</v>
      </c>
      <c r="M195" s="150" t="s">
        <v>1466</v>
      </c>
      <c r="N195" s="127" t="s">
        <v>370</v>
      </c>
      <c r="O195" s="127" t="s">
        <v>448</v>
      </c>
      <c r="P195" s="82" t="s">
        <v>395</v>
      </c>
      <c r="Q195" s="103" t="s">
        <v>433</v>
      </c>
      <c r="R195" s="157" t="s">
        <v>1435</v>
      </c>
    </row>
    <row r="196" spans="1:18" ht="24">
      <c r="A196" s="144" t="s">
        <v>1344</v>
      </c>
      <c r="B196" s="129" t="s">
        <v>678</v>
      </c>
      <c r="C196" s="134" t="s">
        <v>699</v>
      </c>
      <c r="D196" s="106"/>
      <c r="E196" s="107" t="s">
        <v>730</v>
      </c>
      <c r="F196" s="107"/>
      <c r="G196" s="99" t="s">
        <v>699</v>
      </c>
      <c r="H196" s="4" t="s">
        <v>1369</v>
      </c>
      <c r="I196" s="104" t="s">
        <v>1370</v>
      </c>
      <c r="J196" s="118" t="s">
        <v>456</v>
      </c>
      <c r="K196" s="106" t="s">
        <v>468</v>
      </c>
      <c r="L196" s="106" t="s">
        <v>1434</v>
      </c>
      <c r="M196" s="150" t="s">
        <v>1466</v>
      </c>
      <c r="N196" s="127" t="s">
        <v>370</v>
      </c>
      <c r="O196" s="127" t="s">
        <v>449</v>
      </c>
      <c r="P196" s="82" t="s">
        <v>396</v>
      </c>
      <c r="Q196" s="103" t="s">
        <v>433</v>
      </c>
      <c r="R196" s="157" t="s">
        <v>1435</v>
      </c>
    </row>
    <row r="197" spans="1:18" ht="24">
      <c r="A197" s="144" t="s">
        <v>1345</v>
      </c>
      <c r="B197" s="129" t="s">
        <v>678</v>
      </c>
      <c r="C197" s="134" t="s">
        <v>699</v>
      </c>
      <c r="D197" s="106"/>
      <c r="E197" s="107" t="s">
        <v>730</v>
      </c>
      <c r="F197" s="107"/>
      <c r="G197" s="99" t="s">
        <v>699</v>
      </c>
      <c r="H197" s="4" t="s">
        <v>1369</v>
      </c>
      <c r="I197" s="104" t="s">
        <v>1370</v>
      </c>
      <c r="J197" s="118" t="s">
        <v>456</v>
      </c>
      <c r="K197" s="106" t="s">
        <v>468</v>
      </c>
      <c r="L197" s="106" t="s">
        <v>1434</v>
      </c>
      <c r="M197" s="150" t="s">
        <v>1466</v>
      </c>
      <c r="N197" s="127" t="s">
        <v>370</v>
      </c>
      <c r="O197" s="127" t="s">
        <v>446</v>
      </c>
      <c r="P197" s="82" t="s">
        <v>397</v>
      </c>
      <c r="Q197" s="103" t="s">
        <v>433</v>
      </c>
      <c r="R197" s="157" t="s">
        <v>1435</v>
      </c>
    </row>
    <row r="198" spans="1:18" ht="24">
      <c r="A198" s="144" t="s">
        <v>1346</v>
      </c>
      <c r="B198" s="129" t="s">
        <v>678</v>
      </c>
      <c r="C198" s="134" t="s">
        <v>699</v>
      </c>
      <c r="D198" s="106"/>
      <c r="E198" s="107" t="s">
        <v>730</v>
      </c>
      <c r="F198" s="107"/>
      <c r="G198" s="99" t="s">
        <v>699</v>
      </c>
      <c r="H198" s="4" t="s">
        <v>1369</v>
      </c>
      <c r="I198" s="104" t="s">
        <v>1370</v>
      </c>
      <c r="J198" s="118" t="s">
        <v>456</v>
      </c>
      <c r="K198" s="106" t="s">
        <v>468</v>
      </c>
      <c r="L198" s="106" t="s">
        <v>1434</v>
      </c>
      <c r="M198" s="150" t="s">
        <v>1466</v>
      </c>
      <c r="N198" s="127" t="s">
        <v>370</v>
      </c>
      <c r="O198" s="127" t="s">
        <v>454</v>
      </c>
      <c r="P198" s="82" t="s">
        <v>398</v>
      </c>
      <c r="Q198" s="103" t="s">
        <v>433</v>
      </c>
      <c r="R198" s="157" t="s">
        <v>1435</v>
      </c>
    </row>
    <row r="199" spans="1:18" ht="24">
      <c r="A199" s="144" t="s">
        <v>1347</v>
      </c>
      <c r="B199" s="129" t="s">
        <v>678</v>
      </c>
      <c r="C199" s="134" t="s">
        <v>699</v>
      </c>
      <c r="D199" s="106"/>
      <c r="E199" s="107" t="s">
        <v>730</v>
      </c>
      <c r="F199" s="107"/>
      <c r="G199" s="99" t="s">
        <v>699</v>
      </c>
      <c r="H199" s="4" t="s">
        <v>1369</v>
      </c>
      <c r="I199" s="104" t="s">
        <v>1370</v>
      </c>
      <c r="J199" s="118" t="s">
        <v>456</v>
      </c>
      <c r="K199" s="106" t="s">
        <v>468</v>
      </c>
      <c r="L199" s="106" t="s">
        <v>1434</v>
      </c>
      <c r="M199" s="150" t="s">
        <v>1466</v>
      </c>
      <c r="N199" s="127" t="s">
        <v>366</v>
      </c>
      <c r="O199" s="127" t="s">
        <v>950</v>
      </c>
      <c r="P199" s="82" t="s">
        <v>382</v>
      </c>
      <c r="Q199" s="103" t="s">
        <v>433</v>
      </c>
      <c r="R199" s="157" t="s">
        <v>1435</v>
      </c>
    </row>
    <row r="200" spans="1:18" ht="24">
      <c r="A200" s="144" t="s">
        <v>1348</v>
      </c>
      <c r="B200" s="4" t="s">
        <v>678</v>
      </c>
      <c r="C200" s="4" t="s">
        <v>699</v>
      </c>
      <c r="D200" s="106"/>
      <c r="E200" s="104" t="s">
        <v>730</v>
      </c>
      <c r="F200" s="107"/>
      <c r="G200" s="106" t="s">
        <v>699</v>
      </c>
      <c r="H200" s="4" t="s">
        <v>1369</v>
      </c>
      <c r="I200" s="104" t="s">
        <v>1370</v>
      </c>
      <c r="J200" s="118" t="s">
        <v>456</v>
      </c>
      <c r="K200" s="106" t="s">
        <v>468</v>
      </c>
      <c r="L200" s="106" t="s">
        <v>1434</v>
      </c>
      <c r="M200" s="150" t="s">
        <v>1466</v>
      </c>
      <c r="N200" s="127" t="s">
        <v>366</v>
      </c>
      <c r="O200" s="127" t="s">
        <v>952</v>
      </c>
      <c r="P200" s="82" t="s">
        <v>383</v>
      </c>
      <c r="Q200" s="103" t="s">
        <v>433</v>
      </c>
      <c r="R200" s="157" t="s">
        <v>1435</v>
      </c>
    </row>
    <row r="201" spans="1:18" ht="24">
      <c r="A201" s="144" t="s">
        <v>1349</v>
      </c>
      <c r="B201" s="104" t="s">
        <v>678</v>
      </c>
      <c r="C201" s="104" t="s">
        <v>699</v>
      </c>
      <c r="D201" s="104"/>
      <c r="E201" s="104" t="s">
        <v>730</v>
      </c>
      <c r="F201" s="104"/>
      <c r="G201" s="104" t="s">
        <v>699</v>
      </c>
      <c r="H201" s="4" t="s">
        <v>1369</v>
      </c>
      <c r="I201" s="104" t="s">
        <v>1370</v>
      </c>
      <c r="J201" s="105" t="s">
        <v>456</v>
      </c>
      <c r="K201" s="126" t="s">
        <v>468</v>
      </c>
      <c r="L201" s="126" t="s">
        <v>1434</v>
      </c>
      <c r="M201" s="149" t="s">
        <v>1466</v>
      </c>
      <c r="N201" s="127" t="s">
        <v>366</v>
      </c>
      <c r="O201" s="124" t="s">
        <v>954</v>
      </c>
      <c r="P201" s="82" t="s">
        <v>384</v>
      </c>
      <c r="Q201" s="103" t="s">
        <v>433</v>
      </c>
      <c r="R201" s="157" t="s">
        <v>1435</v>
      </c>
    </row>
    <row r="202" spans="1:18" ht="24">
      <c r="A202" s="144" t="s">
        <v>1350</v>
      </c>
      <c r="B202" s="4" t="s">
        <v>678</v>
      </c>
      <c r="C202" s="4" t="s">
        <v>699</v>
      </c>
      <c r="D202" s="4"/>
      <c r="E202" s="128" t="s">
        <v>730</v>
      </c>
      <c r="F202" s="4"/>
      <c r="G202" s="104" t="s">
        <v>699</v>
      </c>
      <c r="H202" s="4" t="s">
        <v>1369</v>
      </c>
      <c r="I202" s="104" t="s">
        <v>1370</v>
      </c>
      <c r="J202" s="118" t="s">
        <v>456</v>
      </c>
      <c r="K202" s="4" t="s">
        <v>468</v>
      </c>
      <c r="L202" s="4" t="s">
        <v>1434</v>
      </c>
      <c r="M202" s="149" t="s">
        <v>1466</v>
      </c>
      <c r="N202" s="125" t="s">
        <v>366</v>
      </c>
      <c r="O202" s="124" t="s">
        <v>958</v>
      </c>
      <c r="P202" s="82" t="s">
        <v>386</v>
      </c>
      <c r="Q202" s="103" t="s">
        <v>433</v>
      </c>
      <c r="R202" s="157" t="s">
        <v>1435</v>
      </c>
    </row>
    <row r="203" spans="1:18" ht="24">
      <c r="A203" s="144" t="s">
        <v>1351</v>
      </c>
      <c r="B203" s="106" t="s">
        <v>678</v>
      </c>
      <c r="C203" s="106" t="s">
        <v>699</v>
      </c>
      <c r="D203" s="106"/>
      <c r="E203" s="107" t="s">
        <v>730</v>
      </c>
      <c r="F203" s="107"/>
      <c r="G203" s="106" t="s">
        <v>699</v>
      </c>
      <c r="H203" s="4" t="s">
        <v>1369</v>
      </c>
      <c r="I203" s="104" t="s">
        <v>1370</v>
      </c>
      <c r="J203" s="118" t="s">
        <v>456</v>
      </c>
      <c r="K203" s="106" t="s">
        <v>468</v>
      </c>
      <c r="L203" s="106" t="s">
        <v>1434</v>
      </c>
      <c r="M203" s="150" t="s">
        <v>1466</v>
      </c>
      <c r="N203" s="127" t="s">
        <v>365</v>
      </c>
      <c r="O203" s="127" t="s">
        <v>926</v>
      </c>
      <c r="P203" s="82" t="s">
        <v>374</v>
      </c>
      <c r="Q203" s="103" t="s">
        <v>433</v>
      </c>
      <c r="R203" s="157" t="s">
        <v>1435</v>
      </c>
    </row>
    <row r="204" spans="1:18" ht="24">
      <c r="A204" s="144" t="s">
        <v>1352</v>
      </c>
      <c r="B204" s="104" t="s">
        <v>678</v>
      </c>
      <c r="C204" s="104" t="s">
        <v>699</v>
      </c>
      <c r="D204" s="104"/>
      <c r="E204" s="104" t="s">
        <v>730</v>
      </c>
      <c r="F204" s="104"/>
      <c r="G204" s="104" t="s">
        <v>699</v>
      </c>
      <c r="H204" s="4" t="s">
        <v>1369</v>
      </c>
      <c r="I204" s="104" t="s">
        <v>1370</v>
      </c>
      <c r="J204" s="105" t="s">
        <v>456</v>
      </c>
      <c r="K204" s="126" t="s">
        <v>468</v>
      </c>
      <c r="L204" s="126" t="s">
        <v>1434</v>
      </c>
      <c r="M204" s="149" t="s">
        <v>1466</v>
      </c>
      <c r="N204" s="127" t="s">
        <v>365</v>
      </c>
      <c r="O204" s="124" t="s">
        <v>930</v>
      </c>
      <c r="P204" s="82" t="s">
        <v>375</v>
      </c>
      <c r="Q204" s="103" t="s">
        <v>433</v>
      </c>
      <c r="R204" s="157" t="s">
        <v>1435</v>
      </c>
    </row>
    <row r="205" spans="1:18" ht="24">
      <c r="A205" s="144" t="s">
        <v>1353</v>
      </c>
      <c r="B205" s="4" t="s">
        <v>678</v>
      </c>
      <c r="C205" s="4" t="s">
        <v>699</v>
      </c>
      <c r="D205" s="4"/>
      <c r="E205" s="128" t="s">
        <v>730</v>
      </c>
      <c r="F205" s="4"/>
      <c r="G205" s="104" t="s">
        <v>699</v>
      </c>
      <c r="H205" s="4" t="s">
        <v>1369</v>
      </c>
      <c r="I205" s="104" t="s">
        <v>1370</v>
      </c>
      <c r="J205" s="118" t="s">
        <v>456</v>
      </c>
      <c r="K205" s="4" t="s">
        <v>468</v>
      </c>
      <c r="L205" s="4" t="s">
        <v>1434</v>
      </c>
      <c r="M205" s="149" t="s">
        <v>1466</v>
      </c>
      <c r="N205" s="125" t="s">
        <v>365</v>
      </c>
      <c r="O205" s="124" t="s">
        <v>932</v>
      </c>
      <c r="P205" s="82" t="s">
        <v>376</v>
      </c>
      <c r="Q205" s="103" t="s">
        <v>433</v>
      </c>
      <c r="R205" s="157" t="s">
        <v>1435</v>
      </c>
    </row>
    <row r="206" spans="1:18" ht="24">
      <c r="A206" s="144" t="s">
        <v>1354</v>
      </c>
      <c r="B206" s="106" t="s">
        <v>678</v>
      </c>
      <c r="C206" s="106" t="s">
        <v>699</v>
      </c>
      <c r="D206" s="106"/>
      <c r="E206" s="107" t="s">
        <v>730</v>
      </c>
      <c r="F206" s="107"/>
      <c r="G206" s="106" t="s">
        <v>699</v>
      </c>
      <c r="H206" s="4" t="s">
        <v>1369</v>
      </c>
      <c r="I206" s="104" t="s">
        <v>1370</v>
      </c>
      <c r="J206" s="118" t="s">
        <v>456</v>
      </c>
      <c r="K206" s="106" t="s">
        <v>468</v>
      </c>
      <c r="L206" s="106" t="s">
        <v>1434</v>
      </c>
      <c r="M206" s="150" t="s">
        <v>1466</v>
      </c>
      <c r="N206" s="127" t="s">
        <v>365</v>
      </c>
      <c r="O206" s="127" t="s">
        <v>934</v>
      </c>
      <c r="P206" s="82" t="s">
        <v>377</v>
      </c>
      <c r="Q206" s="103" t="s">
        <v>433</v>
      </c>
      <c r="R206" s="157" t="s">
        <v>1435</v>
      </c>
    </row>
    <row r="207" spans="1:18" ht="24">
      <c r="A207" s="144" t="s">
        <v>1355</v>
      </c>
      <c r="B207" s="104" t="s">
        <v>678</v>
      </c>
      <c r="C207" s="104" t="s">
        <v>699</v>
      </c>
      <c r="D207" s="104"/>
      <c r="E207" s="104" t="s">
        <v>730</v>
      </c>
      <c r="F207" s="104"/>
      <c r="G207" s="104" t="s">
        <v>699</v>
      </c>
      <c r="H207" s="4" t="s">
        <v>1369</v>
      </c>
      <c r="I207" s="104" t="s">
        <v>1370</v>
      </c>
      <c r="J207" s="105" t="s">
        <v>456</v>
      </c>
      <c r="K207" s="126" t="s">
        <v>468</v>
      </c>
      <c r="L207" s="126" t="s">
        <v>1434</v>
      </c>
      <c r="M207" s="149" t="s">
        <v>1466</v>
      </c>
      <c r="N207" s="127" t="s">
        <v>365</v>
      </c>
      <c r="O207" s="124" t="s">
        <v>936</v>
      </c>
      <c r="P207" s="82" t="s">
        <v>378</v>
      </c>
      <c r="Q207" s="103" t="s">
        <v>433</v>
      </c>
      <c r="R207" s="157" t="s">
        <v>1435</v>
      </c>
    </row>
    <row r="208" spans="1:18" ht="24">
      <c r="A208" s="144" t="s">
        <v>1356</v>
      </c>
      <c r="B208" s="4" t="s">
        <v>678</v>
      </c>
      <c r="C208" s="4" t="s">
        <v>699</v>
      </c>
      <c r="D208" s="4"/>
      <c r="E208" s="128" t="s">
        <v>730</v>
      </c>
      <c r="F208" s="4"/>
      <c r="G208" s="104" t="s">
        <v>699</v>
      </c>
      <c r="H208" s="4" t="s">
        <v>1369</v>
      </c>
      <c r="I208" s="104" t="s">
        <v>1370</v>
      </c>
      <c r="J208" s="118" t="s">
        <v>456</v>
      </c>
      <c r="K208" s="4" t="s">
        <v>468</v>
      </c>
      <c r="L208" s="4" t="s">
        <v>1434</v>
      </c>
      <c r="M208" s="149" t="s">
        <v>1466</v>
      </c>
      <c r="N208" s="125" t="s">
        <v>365</v>
      </c>
      <c r="O208" s="124" t="s">
        <v>944</v>
      </c>
      <c r="P208" s="82" t="s">
        <v>380</v>
      </c>
      <c r="Q208" s="103" t="s">
        <v>433</v>
      </c>
      <c r="R208" s="157" t="s">
        <v>1435</v>
      </c>
    </row>
    <row r="209" spans="1:19" ht="24">
      <c r="A209" s="144" t="s">
        <v>1357</v>
      </c>
      <c r="B209" s="106" t="s">
        <v>678</v>
      </c>
      <c r="C209" s="106" t="s">
        <v>699</v>
      </c>
      <c r="D209" s="106"/>
      <c r="E209" s="107" t="s">
        <v>730</v>
      </c>
      <c r="F209" s="107"/>
      <c r="G209" s="106" t="s">
        <v>699</v>
      </c>
      <c r="H209" s="4" t="s">
        <v>1369</v>
      </c>
      <c r="I209" s="104" t="s">
        <v>1370</v>
      </c>
      <c r="J209" s="118" t="s">
        <v>456</v>
      </c>
      <c r="K209" s="106" t="s">
        <v>468</v>
      </c>
      <c r="L209" s="106" t="s">
        <v>1434</v>
      </c>
      <c r="M209" s="150" t="s">
        <v>1466</v>
      </c>
      <c r="N209" s="127" t="s">
        <v>365</v>
      </c>
      <c r="O209" s="127" t="s">
        <v>946</v>
      </c>
      <c r="P209" s="82" t="s">
        <v>381</v>
      </c>
      <c r="Q209" s="103" t="s">
        <v>433</v>
      </c>
      <c r="R209" s="157" t="s">
        <v>1435</v>
      </c>
    </row>
    <row r="210" spans="1:19" ht="24">
      <c r="A210" s="144" t="s">
        <v>1376</v>
      </c>
      <c r="B210" s="106" t="s">
        <v>1406</v>
      </c>
      <c r="C210" s="106" t="s">
        <v>1371</v>
      </c>
      <c r="D210" s="106"/>
      <c r="E210" s="107" t="s">
        <v>1372</v>
      </c>
      <c r="F210" s="107" t="s">
        <v>1373</v>
      </c>
      <c r="G210" s="99" t="s">
        <v>670</v>
      </c>
      <c r="H210" s="134" t="s">
        <v>1363</v>
      </c>
      <c r="I210" s="134" t="s">
        <v>423</v>
      </c>
      <c r="J210" s="118" t="s">
        <v>1405</v>
      </c>
      <c r="K210" s="106"/>
      <c r="L210" s="106"/>
      <c r="M210" s="150" t="s">
        <v>1466</v>
      </c>
      <c r="N210" s="127" t="s">
        <v>366</v>
      </c>
      <c r="O210" s="127" t="s">
        <v>952</v>
      </c>
      <c r="P210" s="82" t="s">
        <v>383</v>
      </c>
      <c r="Q210" s="103" t="s">
        <v>399</v>
      </c>
      <c r="R210" s="157" t="s">
        <v>1435</v>
      </c>
    </row>
    <row r="211" spans="1:19" ht="24">
      <c r="A211" s="144" t="s">
        <v>1377</v>
      </c>
      <c r="B211" s="106" t="s">
        <v>1406</v>
      </c>
      <c r="C211" s="106" t="s">
        <v>1371</v>
      </c>
      <c r="D211" s="106"/>
      <c r="E211" s="107" t="s">
        <v>1374</v>
      </c>
      <c r="F211" s="107" t="s">
        <v>1375</v>
      </c>
      <c r="G211" s="99" t="s">
        <v>670</v>
      </c>
      <c r="H211" s="134" t="s">
        <v>1363</v>
      </c>
      <c r="I211" s="134" t="s">
        <v>423</v>
      </c>
      <c r="J211" s="118" t="s">
        <v>1405</v>
      </c>
      <c r="K211" s="106"/>
      <c r="L211" s="106"/>
      <c r="M211" s="150" t="s">
        <v>1466</v>
      </c>
      <c r="N211" s="127" t="s">
        <v>365</v>
      </c>
      <c r="O211" s="124" t="s">
        <v>930</v>
      </c>
      <c r="P211" s="82" t="s">
        <v>375</v>
      </c>
      <c r="Q211" s="103" t="s">
        <v>399</v>
      </c>
      <c r="R211" s="157" t="s">
        <v>1435</v>
      </c>
    </row>
    <row r="212" spans="1:19">
      <c r="A212" s="140"/>
      <c r="B212" s="2"/>
      <c r="C212" s="2"/>
      <c r="D212" s="2"/>
      <c r="E212" s="1"/>
      <c r="F212" s="2"/>
      <c r="G212" s="2"/>
      <c r="H212" s="2"/>
      <c r="I212" s="2"/>
      <c r="J212" s="3"/>
      <c r="K212" s="2"/>
      <c r="L212" s="2"/>
      <c r="M212" s="32"/>
      <c r="N212" s="32"/>
      <c r="O212" s="32"/>
      <c r="P212" s="145" t="str">
        <f>IF(O212="","",VLOOKUP(O212,辅助表!$F$2:$G$200,2,FALSE))</f>
        <v/>
      </c>
      <c r="Q212" s="32"/>
      <c r="R212" s="2"/>
      <c r="S212"/>
    </row>
    <row r="213" spans="1:19">
      <c r="A213" s="140"/>
      <c r="B213" s="2"/>
      <c r="C213" s="2"/>
      <c r="D213" s="2"/>
      <c r="E213" s="1"/>
      <c r="F213" s="2"/>
      <c r="G213" s="2"/>
      <c r="H213" s="2"/>
      <c r="I213" s="2"/>
      <c r="J213" s="3"/>
      <c r="K213" s="2"/>
      <c r="L213" s="2"/>
      <c r="M213" s="32"/>
      <c r="N213" s="32"/>
      <c r="O213" s="32"/>
      <c r="P213" s="146" t="str">
        <f>IF(O213="","",VLOOKUP(O213,辅助表!$F$2:$G$200,2,FALSE))</f>
        <v/>
      </c>
      <c r="Q213" s="32"/>
      <c r="R213" s="2"/>
      <c r="S213"/>
    </row>
    <row r="214" spans="1:19">
      <c r="A214" s="140"/>
      <c r="B214" s="2"/>
      <c r="C214" s="2"/>
      <c r="D214" s="2"/>
      <c r="E214" s="1"/>
      <c r="F214" s="2"/>
      <c r="G214" s="2"/>
      <c r="H214" s="2"/>
      <c r="I214" s="2"/>
      <c r="J214" s="3"/>
      <c r="K214" s="2"/>
      <c r="L214" s="2"/>
      <c r="M214" s="32"/>
      <c r="N214" s="32"/>
      <c r="O214" s="32"/>
      <c r="P214" s="146" t="str">
        <f>IF(O214="","",VLOOKUP(O214,辅助表!$F$2:$G$200,2,FALSE))</f>
        <v/>
      </c>
      <c r="Q214" s="32"/>
      <c r="R214" s="2"/>
      <c r="S214"/>
    </row>
    <row r="215" spans="1:19">
      <c r="A215" s="140"/>
      <c r="B215" s="2"/>
      <c r="C215" s="2"/>
      <c r="D215" s="2"/>
      <c r="E215" s="1"/>
      <c r="F215" s="2"/>
      <c r="G215" s="2"/>
      <c r="H215" s="2"/>
      <c r="I215" s="2"/>
      <c r="J215" s="3"/>
      <c r="K215" s="2"/>
      <c r="L215" s="2"/>
      <c r="M215" s="32"/>
      <c r="N215" s="32"/>
      <c r="O215" s="32"/>
      <c r="P215" s="146" t="str">
        <f>IF(O215="","",VLOOKUP(O215,辅助表!$F$2:$G$200,2,FALSE))</f>
        <v/>
      </c>
      <c r="Q215" s="32"/>
      <c r="R215" s="2"/>
      <c r="S215"/>
    </row>
    <row r="216" spans="1:19">
      <c r="A216" s="140"/>
      <c r="B216" s="2"/>
      <c r="C216" s="2"/>
      <c r="D216" s="2"/>
      <c r="E216" s="1"/>
      <c r="F216" s="2"/>
      <c r="G216" s="2"/>
      <c r="H216" s="2"/>
      <c r="I216" s="2"/>
      <c r="J216" s="3"/>
      <c r="K216" s="2"/>
      <c r="L216" s="2"/>
      <c r="M216" s="32"/>
      <c r="N216" s="32"/>
      <c r="O216" s="32"/>
      <c r="P216" s="146" t="str">
        <f>IF(O216="","",VLOOKUP(O216,辅助表!$F$2:$G$200,2,FALSE))</f>
        <v/>
      </c>
      <c r="Q216" s="32"/>
      <c r="R216" s="2"/>
      <c r="S216"/>
    </row>
    <row r="217" spans="1:19">
      <c r="A217" s="140"/>
      <c r="B217" s="2"/>
      <c r="C217" s="2"/>
      <c r="D217" s="2"/>
      <c r="E217" s="1"/>
      <c r="F217" s="2"/>
      <c r="G217" s="2"/>
      <c r="H217" s="2"/>
      <c r="I217" s="2"/>
      <c r="J217" s="3"/>
      <c r="K217" s="2"/>
      <c r="L217" s="2"/>
      <c r="M217" s="32"/>
      <c r="N217" s="32"/>
      <c r="O217" s="32"/>
      <c r="P217" s="146" t="str">
        <f>IF(O217="","",VLOOKUP(O217,辅助表!$F$2:$G$200,2,FALSE))</f>
        <v/>
      </c>
      <c r="Q217" s="32"/>
      <c r="R217" s="2"/>
      <c r="S217"/>
    </row>
    <row r="218" spans="1:19">
      <c r="A218" s="140"/>
      <c r="B218" s="2"/>
      <c r="C218" s="2"/>
      <c r="D218" s="2"/>
      <c r="E218" s="1"/>
      <c r="F218" s="2"/>
      <c r="G218" s="2"/>
      <c r="H218" s="2"/>
      <c r="I218" s="2"/>
      <c r="J218" s="3"/>
      <c r="K218" s="2"/>
      <c r="L218" s="2"/>
      <c r="M218" s="32"/>
      <c r="N218" s="32"/>
      <c r="O218" s="32"/>
      <c r="P218" s="146" t="str">
        <f>IF(O218="","",VLOOKUP(O218,辅助表!$F$2:$G$200,2,FALSE))</f>
        <v/>
      </c>
      <c r="Q218" s="32"/>
      <c r="R218" s="2"/>
      <c r="S218"/>
    </row>
    <row r="219" spans="1:19">
      <c r="A219" s="140"/>
      <c r="B219" s="2"/>
      <c r="C219" s="2"/>
      <c r="D219" s="2"/>
      <c r="E219" s="1"/>
      <c r="F219" s="2"/>
      <c r="G219" s="2"/>
      <c r="H219" s="2"/>
      <c r="I219" s="2"/>
      <c r="J219" s="3"/>
      <c r="K219" s="2"/>
      <c r="L219" s="2"/>
      <c r="M219" s="32"/>
      <c r="N219" s="32"/>
      <c r="O219" s="32"/>
      <c r="P219" s="146" t="str">
        <f>IF(O219="","",VLOOKUP(O219,辅助表!$F$2:$G$200,2,FALSE))</f>
        <v/>
      </c>
      <c r="Q219" s="32"/>
      <c r="R219" s="2"/>
      <c r="S219"/>
    </row>
    <row r="220" spans="1:19">
      <c r="A220" s="140"/>
      <c r="B220" s="2"/>
      <c r="C220" s="2"/>
      <c r="D220" s="2"/>
      <c r="E220" s="1"/>
      <c r="F220" s="2"/>
      <c r="G220" s="2"/>
      <c r="H220" s="2"/>
      <c r="I220" s="2"/>
      <c r="J220" s="3"/>
      <c r="K220" s="2"/>
      <c r="L220" s="2"/>
      <c r="M220" s="32"/>
      <c r="N220" s="32"/>
      <c r="O220" s="32"/>
      <c r="P220" s="146" t="str">
        <f>IF(O220="","",VLOOKUP(O220,辅助表!$F$2:$G$200,2,FALSE))</f>
        <v/>
      </c>
      <c r="Q220" s="32"/>
      <c r="R220" s="2"/>
      <c r="S220"/>
    </row>
    <row r="221" spans="1:19">
      <c r="A221" s="140"/>
      <c r="B221" s="2"/>
      <c r="C221" s="2"/>
      <c r="D221" s="2"/>
      <c r="E221" s="1"/>
      <c r="F221" s="2"/>
      <c r="G221" s="2"/>
      <c r="H221" s="2"/>
      <c r="I221" s="2"/>
      <c r="J221" s="3"/>
      <c r="K221" s="2"/>
      <c r="L221" s="2"/>
      <c r="M221" s="32"/>
      <c r="N221" s="32"/>
      <c r="O221" s="32"/>
      <c r="P221" s="146" t="str">
        <f>IF(O221="","",VLOOKUP(O221,辅助表!$F$2:$G$200,2,FALSE))</f>
        <v/>
      </c>
      <c r="Q221" s="32"/>
      <c r="R221" s="2"/>
      <c r="S221"/>
    </row>
    <row r="222" spans="1:19">
      <c r="A222" s="140"/>
      <c r="B222" s="2"/>
      <c r="C222" s="2"/>
      <c r="D222" s="2"/>
      <c r="E222" s="1"/>
      <c r="F222" s="2"/>
      <c r="G222" s="2"/>
      <c r="H222" s="2"/>
      <c r="I222" s="2"/>
      <c r="J222" s="3"/>
      <c r="K222" s="2"/>
      <c r="L222" s="2"/>
      <c r="M222" s="32"/>
      <c r="N222" s="32"/>
      <c r="O222" s="32"/>
      <c r="P222" s="146" t="str">
        <f>IF(O222="","",VLOOKUP(O222,辅助表!$F$2:$G$200,2,FALSE))</f>
        <v/>
      </c>
      <c r="Q222" s="32"/>
      <c r="R222" s="2"/>
      <c r="S222"/>
    </row>
    <row r="223" spans="1:19">
      <c r="A223" s="140"/>
      <c r="B223" s="2"/>
      <c r="C223" s="2"/>
      <c r="D223" s="2"/>
      <c r="E223" s="1"/>
      <c r="F223" s="2"/>
      <c r="G223" s="2"/>
      <c r="H223" s="2"/>
      <c r="I223" s="2"/>
      <c r="J223" s="3"/>
      <c r="K223" s="2"/>
      <c r="L223" s="2"/>
      <c r="M223" s="32"/>
      <c r="N223" s="32"/>
      <c r="O223" s="32"/>
      <c r="P223" s="146" t="str">
        <f>IF(O223="","",VLOOKUP(O223,辅助表!$F$2:$G$200,2,FALSE))</f>
        <v/>
      </c>
      <c r="Q223" s="32"/>
      <c r="R223" s="2"/>
      <c r="S223"/>
    </row>
    <row r="224" spans="1:19">
      <c r="A224" s="140"/>
      <c r="B224" s="2"/>
      <c r="C224" s="2"/>
      <c r="D224" s="2"/>
      <c r="E224" s="1"/>
      <c r="F224" s="2"/>
      <c r="G224" s="2"/>
      <c r="H224" s="2"/>
      <c r="I224" s="2"/>
      <c r="J224" s="3"/>
      <c r="K224" s="2"/>
      <c r="L224" s="2"/>
      <c r="M224" s="32"/>
      <c r="N224" s="32"/>
      <c r="O224" s="32"/>
      <c r="P224" s="146" t="str">
        <f>IF(O224="","",VLOOKUP(O224,辅助表!$F$2:$G$200,2,FALSE))</f>
        <v/>
      </c>
      <c r="Q224" s="32"/>
      <c r="R224" s="2"/>
      <c r="S224"/>
    </row>
    <row r="225" spans="1:19">
      <c r="A225" s="140"/>
      <c r="B225" s="2"/>
      <c r="C225" s="2"/>
      <c r="D225" s="2"/>
      <c r="E225" s="1"/>
      <c r="F225" s="2"/>
      <c r="G225" s="2"/>
      <c r="H225" s="2"/>
      <c r="I225" s="2"/>
      <c r="J225" s="3"/>
      <c r="K225" s="2"/>
      <c r="L225" s="2"/>
      <c r="M225" s="32"/>
      <c r="N225" s="32"/>
      <c r="O225" s="32"/>
      <c r="P225" s="146" t="str">
        <f>IF(O225="","",VLOOKUP(O225,辅助表!$F$2:$G$200,2,FALSE))</f>
        <v/>
      </c>
      <c r="Q225" s="32"/>
      <c r="R225" s="2"/>
      <c r="S225"/>
    </row>
    <row r="226" spans="1:19">
      <c r="A226" s="140"/>
      <c r="B226" s="2"/>
      <c r="C226" s="2"/>
      <c r="D226" s="2"/>
      <c r="E226" s="1"/>
      <c r="F226" s="2"/>
      <c r="G226" s="2"/>
      <c r="H226" s="2"/>
      <c r="I226" s="2"/>
      <c r="J226" s="3"/>
      <c r="K226" s="2"/>
      <c r="L226" s="2"/>
      <c r="M226" s="32"/>
      <c r="N226" s="32"/>
      <c r="O226" s="32"/>
      <c r="P226" s="146" t="str">
        <f>IF(O226="","",VLOOKUP(O226,辅助表!$F$2:$G$200,2,FALSE))</f>
        <v/>
      </c>
      <c r="Q226" s="32"/>
      <c r="R226" s="2"/>
      <c r="S226"/>
    </row>
    <row r="227" spans="1:19">
      <c r="A227" s="141"/>
      <c r="B227" s="135"/>
      <c r="C227" s="135"/>
      <c r="D227" s="135"/>
      <c r="E227" s="161"/>
      <c r="F227" s="161"/>
      <c r="G227" s="136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6"/>
    </row>
    <row r="228" spans="1:19">
      <c r="A228" s="141"/>
      <c r="B228" s="135"/>
      <c r="C228" s="135"/>
      <c r="D228" s="135"/>
      <c r="E228" s="161"/>
      <c r="F228" s="161"/>
      <c r="G228" s="136"/>
      <c r="H228" s="135"/>
      <c r="I228" s="135"/>
      <c r="J228" s="135"/>
      <c r="K228" s="135"/>
      <c r="L228" s="135"/>
      <c r="M228" s="135"/>
      <c r="N228" s="135"/>
      <c r="O228" s="135"/>
      <c r="P228" s="135"/>
      <c r="Q228" s="135"/>
      <c r="R228" s="136"/>
    </row>
    <row r="229" spans="1:19">
      <c r="A229" s="141"/>
      <c r="B229" s="135"/>
      <c r="C229" s="135"/>
      <c r="D229" s="135"/>
      <c r="E229" s="161"/>
      <c r="F229" s="161"/>
      <c r="G229" s="136"/>
      <c r="H229" s="135"/>
      <c r="I229" s="135"/>
      <c r="J229" s="135"/>
      <c r="K229" s="135"/>
      <c r="L229" s="135"/>
      <c r="M229" s="135"/>
      <c r="N229" s="135"/>
      <c r="O229" s="135"/>
      <c r="P229" s="135"/>
      <c r="Q229" s="135"/>
      <c r="R229" s="136"/>
    </row>
    <row r="230" spans="1:19">
      <c r="A230" s="141"/>
      <c r="B230" s="135"/>
      <c r="C230" s="135"/>
      <c r="D230" s="135"/>
      <c r="E230" s="161"/>
      <c r="F230" s="161"/>
      <c r="G230" s="136"/>
      <c r="H230" s="135"/>
      <c r="I230" s="135"/>
      <c r="J230" s="135"/>
      <c r="K230" s="135"/>
      <c r="L230" s="135"/>
      <c r="M230" s="135"/>
      <c r="N230" s="135"/>
      <c r="O230" s="135"/>
      <c r="P230" s="135"/>
      <c r="Q230" s="135"/>
      <c r="R230" s="136"/>
    </row>
    <row r="231" spans="1:19">
      <c r="A231" s="141"/>
      <c r="B231" s="135"/>
      <c r="C231" s="135"/>
      <c r="D231" s="135"/>
      <c r="E231" s="161"/>
      <c r="F231" s="161"/>
      <c r="G231" s="136"/>
      <c r="H231" s="135"/>
      <c r="I231" s="135"/>
      <c r="J231" s="135"/>
      <c r="K231" s="135"/>
      <c r="L231" s="135"/>
      <c r="M231" s="135"/>
      <c r="N231" s="135"/>
      <c r="O231" s="135"/>
      <c r="P231" s="135"/>
      <c r="Q231" s="135"/>
      <c r="R231" s="136"/>
    </row>
    <row r="232" spans="1:19">
      <c r="A232" s="141"/>
      <c r="B232" s="135"/>
      <c r="C232" s="135"/>
      <c r="D232" s="135"/>
      <c r="E232" s="161"/>
      <c r="F232" s="161"/>
      <c r="G232" s="136"/>
      <c r="H232" s="135"/>
      <c r="I232" s="135"/>
      <c r="J232" s="135"/>
      <c r="K232" s="135"/>
      <c r="L232" s="135"/>
      <c r="M232" s="135"/>
      <c r="N232" s="135"/>
      <c r="O232" s="135"/>
      <c r="P232" s="135"/>
      <c r="Q232" s="135"/>
      <c r="R232" s="136"/>
    </row>
    <row r="233" spans="1:19">
      <c r="A233" s="141"/>
      <c r="B233" s="135"/>
      <c r="C233" s="135"/>
      <c r="D233" s="135"/>
      <c r="E233" s="161"/>
      <c r="F233" s="161"/>
      <c r="G233" s="136"/>
      <c r="H233" s="135"/>
      <c r="I233" s="135"/>
      <c r="J233" s="135"/>
      <c r="K233" s="135"/>
      <c r="L233" s="135"/>
      <c r="M233" s="135"/>
      <c r="N233" s="135"/>
      <c r="O233" s="135"/>
      <c r="P233" s="135"/>
      <c r="Q233" s="135"/>
      <c r="R233" s="136"/>
    </row>
    <row r="234" spans="1:19">
      <c r="A234" s="141"/>
      <c r="B234" s="135"/>
      <c r="C234" s="135"/>
      <c r="D234" s="135"/>
      <c r="E234" s="161"/>
      <c r="F234" s="161"/>
      <c r="G234" s="136"/>
      <c r="H234" s="135"/>
      <c r="I234" s="135"/>
      <c r="J234" s="135"/>
      <c r="K234" s="135"/>
      <c r="L234" s="135"/>
      <c r="M234" s="135"/>
      <c r="N234" s="135"/>
      <c r="O234" s="135"/>
      <c r="P234" s="135"/>
      <c r="Q234" s="135"/>
      <c r="R234" s="136"/>
    </row>
    <row r="235" spans="1:19">
      <c r="A235" s="141"/>
      <c r="B235" s="135"/>
      <c r="C235" s="135"/>
      <c r="D235" s="135"/>
      <c r="E235" s="161"/>
      <c r="F235" s="161"/>
      <c r="G235" s="136"/>
      <c r="H235" s="135"/>
      <c r="I235" s="135"/>
      <c r="J235" s="135"/>
      <c r="K235" s="135"/>
      <c r="L235" s="135"/>
      <c r="M235" s="135"/>
      <c r="N235" s="135"/>
      <c r="O235" s="135"/>
      <c r="P235" s="135"/>
      <c r="Q235" s="135"/>
      <c r="R235" s="136"/>
    </row>
    <row r="236" spans="1:19">
      <c r="A236" s="141"/>
      <c r="B236" s="135"/>
      <c r="C236" s="135"/>
      <c r="D236" s="135"/>
      <c r="E236" s="161"/>
      <c r="F236" s="161"/>
      <c r="G236" s="136"/>
      <c r="H236" s="135"/>
      <c r="I236" s="135"/>
      <c r="J236" s="135"/>
      <c r="K236" s="135"/>
      <c r="L236" s="135"/>
      <c r="M236" s="135"/>
      <c r="N236" s="135"/>
      <c r="O236" s="135"/>
      <c r="P236" s="135"/>
      <c r="Q236" s="135"/>
      <c r="R236" s="136"/>
    </row>
    <row r="237" spans="1:19">
      <c r="A237" s="141"/>
      <c r="B237" s="135"/>
      <c r="C237" s="135"/>
      <c r="D237" s="135"/>
      <c r="E237" s="161"/>
      <c r="F237" s="161"/>
      <c r="G237" s="136"/>
      <c r="H237" s="135"/>
      <c r="I237" s="135"/>
      <c r="J237" s="135"/>
      <c r="K237" s="135"/>
      <c r="L237" s="135"/>
      <c r="M237" s="135"/>
      <c r="N237" s="135"/>
      <c r="O237" s="135"/>
      <c r="P237" s="135"/>
      <c r="Q237" s="135"/>
      <c r="R237" s="136"/>
    </row>
    <row r="238" spans="1:19">
      <c r="A238" s="141"/>
      <c r="B238" s="135"/>
      <c r="C238" s="135"/>
      <c r="D238" s="135"/>
      <c r="E238" s="161"/>
      <c r="F238" s="161"/>
      <c r="G238" s="136"/>
      <c r="H238" s="135"/>
      <c r="I238" s="135"/>
      <c r="J238" s="135"/>
      <c r="K238" s="135"/>
      <c r="L238" s="135"/>
      <c r="M238" s="135"/>
      <c r="N238" s="135"/>
      <c r="O238" s="135"/>
      <c r="P238" s="135"/>
      <c r="Q238" s="135"/>
      <c r="R238" s="136"/>
    </row>
    <row r="239" spans="1:19">
      <c r="A239" s="141"/>
      <c r="B239" s="135"/>
      <c r="C239" s="135"/>
      <c r="D239" s="135"/>
      <c r="E239" s="161"/>
      <c r="F239" s="161"/>
      <c r="G239" s="136"/>
      <c r="H239" s="135"/>
      <c r="I239" s="135"/>
      <c r="J239" s="135"/>
      <c r="K239" s="135"/>
      <c r="L239" s="135"/>
      <c r="M239" s="135"/>
      <c r="N239" s="135"/>
      <c r="O239" s="135"/>
      <c r="P239" s="135"/>
      <c r="Q239" s="135"/>
      <c r="R239" s="136"/>
    </row>
    <row r="240" spans="1:19">
      <c r="A240" s="141"/>
      <c r="B240" s="135"/>
      <c r="C240" s="135"/>
      <c r="D240" s="135"/>
      <c r="E240" s="161"/>
      <c r="F240" s="161"/>
      <c r="G240" s="136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6"/>
    </row>
    <row r="241" spans="1:18">
      <c r="A241" s="141"/>
      <c r="B241" s="135"/>
      <c r="C241" s="135"/>
      <c r="D241" s="135"/>
      <c r="E241" s="161"/>
      <c r="F241" s="161"/>
      <c r="G241" s="136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6"/>
    </row>
    <row r="242" spans="1:18">
      <c r="A242" s="141"/>
      <c r="B242" s="135"/>
      <c r="C242" s="135"/>
      <c r="D242" s="135"/>
      <c r="E242" s="161"/>
      <c r="F242" s="161"/>
      <c r="G242" s="136"/>
      <c r="H242" s="135"/>
      <c r="I242" s="135"/>
      <c r="J242" s="135"/>
      <c r="K242" s="135"/>
      <c r="L242" s="135"/>
      <c r="M242" s="135"/>
      <c r="N242" s="135"/>
      <c r="O242" s="135"/>
      <c r="P242" s="135"/>
      <c r="Q242" s="135"/>
      <c r="R242" s="136"/>
    </row>
    <row r="243" spans="1:18">
      <c r="A243" s="141"/>
      <c r="B243" s="135"/>
      <c r="C243" s="135"/>
      <c r="D243" s="135"/>
      <c r="E243" s="161"/>
      <c r="F243" s="161"/>
      <c r="G243" s="136"/>
      <c r="H243" s="135"/>
      <c r="I243" s="135"/>
      <c r="J243" s="135"/>
      <c r="K243" s="135"/>
      <c r="L243" s="135"/>
      <c r="M243" s="135"/>
      <c r="N243" s="135"/>
      <c r="O243" s="135"/>
      <c r="P243" s="135"/>
      <c r="Q243" s="135"/>
      <c r="R243" s="136"/>
    </row>
    <row r="244" spans="1:18">
      <c r="A244" s="141"/>
      <c r="B244" s="135"/>
      <c r="C244" s="135"/>
      <c r="D244" s="135"/>
      <c r="E244" s="161"/>
      <c r="F244" s="161"/>
      <c r="G244" s="136"/>
      <c r="H244" s="135"/>
      <c r="I244" s="135"/>
      <c r="J244" s="135"/>
      <c r="K244" s="135"/>
      <c r="L244" s="135"/>
      <c r="M244" s="135"/>
      <c r="N244" s="135"/>
      <c r="O244" s="135"/>
      <c r="P244" s="135"/>
      <c r="Q244" s="135"/>
      <c r="R244" s="136"/>
    </row>
    <row r="245" spans="1:18">
      <c r="A245" s="141"/>
      <c r="B245" s="135"/>
      <c r="C245" s="135"/>
      <c r="D245" s="135"/>
      <c r="E245" s="161"/>
      <c r="F245" s="161"/>
      <c r="G245" s="136"/>
      <c r="H245" s="135"/>
      <c r="I245" s="135"/>
      <c r="J245" s="135"/>
      <c r="K245" s="135"/>
      <c r="L245" s="135"/>
      <c r="M245" s="135"/>
      <c r="N245" s="135"/>
      <c r="O245" s="135"/>
      <c r="P245" s="135"/>
      <c r="Q245" s="135"/>
      <c r="R245" s="136"/>
    </row>
    <row r="246" spans="1:18">
      <c r="A246" s="141"/>
      <c r="B246" s="135"/>
      <c r="C246" s="135"/>
      <c r="D246" s="135"/>
      <c r="E246" s="161"/>
      <c r="F246" s="161"/>
      <c r="G246" s="136"/>
      <c r="H246" s="135"/>
      <c r="I246" s="135"/>
      <c r="J246" s="135"/>
      <c r="K246" s="135"/>
      <c r="L246" s="135"/>
      <c r="M246" s="135"/>
      <c r="N246" s="135"/>
      <c r="O246" s="135"/>
      <c r="P246" s="135"/>
      <c r="Q246" s="135"/>
      <c r="R246" s="136"/>
    </row>
    <row r="247" spans="1:18">
      <c r="A247" s="141"/>
      <c r="B247" s="135"/>
      <c r="C247" s="135"/>
      <c r="D247" s="135"/>
      <c r="E247" s="161"/>
      <c r="F247" s="161"/>
      <c r="G247" s="136"/>
      <c r="H247" s="135"/>
      <c r="I247" s="135"/>
      <c r="J247" s="135"/>
      <c r="K247" s="135"/>
      <c r="L247" s="135"/>
      <c r="M247" s="135"/>
      <c r="N247" s="135"/>
      <c r="O247" s="135"/>
      <c r="P247" s="135"/>
      <c r="Q247" s="135"/>
      <c r="R247" s="136"/>
    </row>
    <row r="248" spans="1:18">
      <c r="A248" s="141"/>
      <c r="B248" s="135"/>
      <c r="C248" s="135"/>
      <c r="D248" s="135"/>
      <c r="E248" s="161"/>
      <c r="F248" s="161"/>
      <c r="G248" s="136"/>
      <c r="H248" s="135"/>
      <c r="I248" s="135"/>
      <c r="J248" s="135"/>
      <c r="K248" s="135"/>
      <c r="L248" s="135"/>
      <c r="M248" s="135"/>
      <c r="N248" s="135"/>
      <c r="O248" s="135"/>
      <c r="P248" s="135"/>
      <c r="Q248" s="135"/>
      <c r="R248" s="136"/>
    </row>
    <row r="249" spans="1:18">
      <c r="A249" s="141"/>
      <c r="B249" s="135"/>
      <c r="C249" s="135"/>
      <c r="D249" s="135"/>
      <c r="E249" s="161"/>
      <c r="F249" s="161"/>
      <c r="G249" s="136"/>
      <c r="H249" s="135"/>
      <c r="I249" s="135"/>
      <c r="J249" s="135"/>
      <c r="K249" s="135"/>
      <c r="L249" s="135"/>
      <c r="M249" s="135"/>
      <c r="N249" s="135"/>
      <c r="O249" s="135"/>
      <c r="P249" s="135"/>
      <c r="Q249" s="135"/>
      <c r="R249" s="136"/>
    </row>
    <row r="250" spans="1:18">
      <c r="A250" s="141"/>
      <c r="B250" s="135"/>
      <c r="C250" s="135"/>
      <c r="D250" s="135"/>
      <c r="E250" s="161"/>
      <c r="F250" s="161"/>
      <c r="G250" s="136"/>
      <c r="H250" s="135"/>
      <c r="I250" s="135"/>
      <c r="J250" s="135"/>
      <c r="K250" s="135"/>
      <c r="L250" s="135"/>
      <c r="M250" s="135"/>
      <c r="N250" s="135"/>
      <c r="O250" s="135"/>
      <c r="P250" s="135"/>
      <c r="Q250" s="135"/>
      <c r="R250" s="136"/>
    </row>
    <row r="251" spans="1:18">
      <c r="A251" s="141"/>
      <c r="B251" s="135"/>
      <c r="C251" s="135"/>
      <c r="D251" s="135"/>
      <c r="E251" s="161"/>
      <c r="F251" s="161"/>
      <c r="G251" s="136"/>
      <c r="H251" s="135"/>
      <c r="I251" s="135"/>
      <c r="J251" s="135"/>
      <c r="K251" s="135"/>
      <c r="L251" s="135"/>
      <c r="M251" s="135"/>
      <c r="N251" s="135"/>
      <c r="O251" s="135"/>
      <c r="P251" s="135"/>
      <c r="Q251" s="135"/>
      <c r="R251" s="136"/>
    </row>
    <row r="252" spans="1:18">
      <c r="A252" s="141"/>
      <c r="B252" s="135"/>
      <c r="C252" s="135"/>
      <c r="D252" s="135"/>
      <c r="E252" s="161"/>
      <c r="F252" s="161"/>
      <c r="G252" s="136"/>
      <c r="H252" s="135"/>
      <c r="I252" s="135"/>
      <c r="J252" s="135"/>
      <c r="K252" s="135"/>
      <c r="L252" s="135"/>
      <c r="M252" s="135"/>
      <c r="N252" s="135"/>
      <c r="O252" s="135"/>
      <c r="P252" s="135"/>
      <c r="Q252" s="135"/>
      <c r="R252" s="136"/>
    </row>
    <row r="253" spans="1:18">
      <c r="A253" s="141"/>
      <c r="B253" s="135"/>
      <c r="C253" s="135"/>
      <c r="D253" s="135"/>
      <c r="E253" s="161"/>
      <c r="F253" s="161"/>
      <c r="G253" s="136"/>
      <c r="H253" s="135"/>
      <c r="I253" s="135"/>
      <c r="J253" s="135"/>
      <c r="K253" s="135"/>
      <c r="L253" s="135"/>
      <c r="M253" s="135"/>
      <c r="N253" s="135"/>
      <c r="O253" s="135"/>
      <c r="P253" s="135"/>
      <c r="Q253" s="135"/>
      <c r="R253" s="136"/>
    </row>
    <row r="254" spans="1:18">
      <c r="A254" s="141"/>
      <c r="B254" s="135"/>
      <c r="C254" s="135"/>
      <c r="D254" s="135"/>
      <c r="E254" s="161"/>
      <c r="F254" s="161"/>
      <c r="G254" s="136"/>
      <c r="H254" s="135"/>
      <c r="I254" s="135"/>
      <c r="J254" s="135"/>
      <c r="K254" s="135"/>
      <c r="L254" s="135"/>
      <c r="M254" s="135"/>
      <c r="N254" s="135"/>
      <c r="O254" s="135"/>
      <c r="P254" s="135"/>
      <c r="Q254" s="135"/>
      <c r="R254" s="136"/>
    </row>
    <row r="255" spans="1:18">
      <c r="A255" s="141"/>
      <c r="B255" s="135"/>
      <c r="C255" s="135"/>
      <c r="D255" s="135"/>
      <c r="E255" s="161"/>
      <c r="F255" s="161"/>
      <c r="G255" s="136"/>
      <c r="H255" s="135"/>
      <c r="I255" s="135"/>
      <c r="J255" s="135"/>
      <c r="K255" s="135"/>
      <c r="L255" s="135"/>
      <c r="M255" s="135"/>
      <c r="N255" s="135"/>
      <c r="O255" s="135"/>
      <c r="P255" s="135"/>
      <c r="Q255" s="135"/>
      <c r="R255" s="136"/>
    </row>
    <row r="256" spans="1:18">
      <c r="A256" s="141"/>
      <c r="B256" s="135"/>
      <c r="C256" s="135"/>
      <c r="D256" s="135"/>
      <c r="E256" s="161"/>
      <c r="F256" s="161"/>
      <c r="G256" s="136"/>
      <c r="H256" s="135"/>
      <c r="I256" s="135"/>
      <c r="J256" s="135"/>
      <c r="K256" s="135"/>
      <c r="L256" s="135"/>
      <c r="M256" s="135"/>
      <c r="N256" s="135"/>
      <c r="O256" s="135"/>
      <c r="P256" s="135"/>
      <c r="Q256" s="135"/>
      <c r="R256" s="136"/>
    </row>
    <row r="257" spans="1:18">
      <c r="A257" s="141"/>
      <c r="B257" s="135"/>
      <c r="C257" s="135"/>
      <c r="D257" s="135"/>
      <c r="E257" s="161"/>
      <c r="F257" s="161"/>
      <c r="G257" s="136"/>
      <c r="H257" s="135"/>
      <c r="I257" s="135"/>
      <c r="J257" s="135"/>
      <c r="K257" s="135"/>
      <c r="L257" s="135"/>
      <c r="M257" s="135"/>
      <c r="N257" s="135"/>
      <c r="O257" s="135"/>
      <c r="P257" s="135"/>
      <c r="Q257" s="135"/>
      <c r="R257" s="136"/>
    </row>
    <row r="258" spans="1:18">
      <c r="A258" s="141"/>
      <c r="B258" s="135"/>
      <c r="C258" s="135"/>
      <c r="D258" s="135"/>
      <c r="E258" s="161"/>
      <c r="F258" s="161"/>
      <c r="G258" s="136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6"/>
    </row>
    <row r="259" spans="1:18">
      <c r="A259" s="141"/>
      <c r="B259" s="135"/>
      <c r="C259" s="135"/>
      <c r="D259" s="135"/>
      <c r="E259" s="161"/>
      <c r="F259" s="161"/>
      <c r="G259" s="136"/>
      <c r="H259" s="135"/>
      <c r="I259" s="135"/>
      <c r="J259" s="135"/>
      <c r="K259" s="135"/>
      <c r="L259" s="135"/>
      <c r="M259" s="135"/>
      <c r="N259" s="135"/>
      <c r="O259" s="135"/>
      <c r="P259" s="135"/>
      <c r="Q259" s="135"/>
      <c r="R259" s="136"/>
    </row>
    <row r="260" spans="1:18">
      <c r="A260" s="142"/>
      <c r="B260" s="97"/>
      <c r="C260" s="97"/>
      <c r="D260" s="97"/>
      <c r="E260" s="162"/>
      <c r="F260" s="162"/>
      <c r="G260" s="13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137"/>
    </row>
    <row r="261" spans="1:18">
      <c r="A261" s="142"/>
      <c r="B261" s="97"/>
      <c r="C261" s="97"/>
      <c r="D261" s="97"/>
      <c r="E261" s="162"/>
      <c r="F261" s="162"/>
      <c r="G261" s="13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137"/>
    </row>
    <row r="262" spans="1:18">
      <c r="A262" s="142"/>
      <c r="B262" s="97"/>
      <c r="C262" s="97"/>
      <c r="D262" s="97"/>
      <c r="E262" s="162"/>
      <c r="F262" s="162"/>
      <c r="G262" s="13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137"/>
    </row>
  </sheetData>
  <autoFilter ref="A1:R226"/>
  <phoneticPr fontId="8" type="noConversion"/>
  <conditionalFormatting sqref="J1:K1">
    <cfRule type="cellIs" dxfId="8" priority="236" stopIfTrue="1" operator="lessThanOrEqual">
      <formula>#REF!</formula>
    </cfRule>
  </conditionalFormatting>
  <conditionalFormatting sqref="M5:M22 M40 M37 M46 M43 M49 M208 M205 M202 M52:M199">
    <cfRule type="cellIs" dxfId="7" priority="233" stopIfTrue="1" operator="equal">
      <formula>"G"</formula>
    </cfRule>
    <cfRule type="cellIs" dxfId="6" priority="234" stopIfTrue="1" operator="equal">
      <formula>"Y"</formula>
    </cfRule>
    <cfRule type="cellIs" dxfId="5" priority="235" stopIfTrue="1" operator="equal">
      <formula>"R"</formula>
    </cfRule>
  </conditionalFormatting>
  <conditionalFormatting sqref="M2:M226">
    <cfRule type="cellIs" dxfId="4" priority="225" operator="equal">
      <formula>"Y"</formula>
    </cfRule>
    <cfRule type="cellIs" dxfId="3" priority="226" operator="equal">
      <formula>"G"</formula>
    </cfRule>
  </conditionalFormatting>
  <conditionalFormatting sqref="J11:J14 J23">
    <cfRule type="cellIs" dxfId="2" priority="224" stopIfTrue="1" operator="lessThanOrEqual">
      <formula>#REF!</formula>
    </cfRule>
  </conditionalFormatting>
  <conditionalFormatting sqref="M11">
    <cfRule type="cellIs" dxfId="1" priority="218" operator="equal">
      <formula>NG</formula>
    </cfRule>
    <cfRule type="cellIs" dxfId="0" priority="219" operator="equal">
      <formula>$M$10</formula>
    </cfRule>
  </conditionalFormatting>
  <dataValidations count="3">
    <dataValidation type="list" allowBlank="1" showInputMessage="1" showErrorMessage="1" sqref="O2:O267">
      <formula1>INDIRECT($N2)</formula1>
    </dataValidation>
    <dataValidation type="list" allowBlank="1" showInputMessage="1" showErrorMessage="1" sqref="Q1:Q226">
      <formula1>"人,机,料,法,环"</formula1>
    </dataValidation>
    <dataValidation type="list" allowBlank="1" showInputMessage="1" showErrorMessage="1" sqref="M212:M226">
      <formula1>"OK,NG"</formula1>
    </dataValidation>
  </dataValidations>
  <pageMargins left="0.70866141732283472" right="0.70866141732283472" top="0.74803149606299213" bottom="0.74803149606299213" header="0.31496062992125984" footer="0.31496062992125984"/>
  <pageSetup paperSize="8" scale="45" fitToHeight="0" orientation="portrait" r:id="rId1"/>
  <headerFooter>
    <oddHeader>&amp;C&amp;F/&amp;A&amp;R第&amp;P页/共&amp;N页</oddHead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辅助表!$I$1:$AF$1</xm:f>
          </x14:formula1>
          <xm:sqref>N116:N238 N1:N58</xm:sqref>
        </x14:dataValidation>
        <x14:dataValidation type="list" allowBlank="1" showInputMessage="1" showErrorMessage="1">
          <x14:formula1>
            <xm:f>[1]辅助表!#REF!</xm:f>
          </x14:formula1>
          <xm:sqref>N59:N115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11"/>
  <sheetViews>
    <sheetView view="pageBreakPreview" topLeftCell="A157" zoomScale="130" zoomScaleNormal="85" zoomScaleSheetLayoutView="130" workbookViewId="0">
      <selection activeCell="D178" sqref="D178"/>
    </sheetView>
  </sheetViews>
  <sheetFormatPr defaultColWidth="9" defaultRowHeight="14.4"/>
  <cols>
    <col min="1" max="1" width="6.59765625" style="29" customWidth="1"/>
    <col min="2" max="2" width="9.69921875" style="29" customWidth="1"/>
    <col min="3" max="3" width="12.09765625" style="29" customWidth="1"/>
    <col min="4" max="4" width="15.19921875" style="29" customWidth="1"/>
    <col min="5" max="5" width="8.59765625" style="29" customWidth="1"/>
    <col min="6" max="6" width="9" style="29" customWidth="1"/>
    <col min="7" max="7" width="9.59765625" style="68" customWidth="1"/>
    <col min="8" max="8" width="9.09765625" style="68" customWidth="1"/>
    <col min="9" max="9" width="10.5" style="68" customWidth="1"/>
    <col min="10" max="10" width="13.59765625" style="29" customWidth="1"/>
    <col min="11" max="11" width="4.69921875" style="5" customWidth="1"/>
    <col min="12" max="16384" width="9" style="5"/>
  </cols>
  <sheetData>
    <row r="1" spans="1:10" ht="21.75" customHeight="1">
      <c r="A1" s="167"/>
      <c r="B1" s="167"/>
      <c r="C1" s="187" t="s">
        <v>731</v>
      </c>
      <c r="D1" s="187"/>
      <c r="E1" s="187"/>
      <c r="F1" s="187"/>
      <c r="G1" s="188" t="s">
        <v>732</v>
      </c>
      <c r="H1" s="188"/>
      <c r="I1" s="188"/>
      <c r="J1" s="188"/>
    </row>
    <row r="2" spans="1:10" ht="21.75" customHeight="1">
      <c r="A2" s="167"/>
      <c r="B2" s="167"/>
      <c r="C2" s="187"/>
      <c r="D2" s="187"/>
      <c r="E2" s="187"/>
      <c r="F2" s="187"/>
      <c r="G2" s="188" t="s">
        <v>733</v>
      </c>
      <c r="H2" s="188"/>
      <c r="I2" s="188"/>
      <c r="J2" s="188"/>
    </row>
    <row r="3" spans="1:10" ht="21.75" customHeight="1">
      <c r="A3" s="189" t="s">
        <v>734</v>
      </c>
      <c r="B3" s="189"/>
      <c r="C3" s="189" t="s">
        <v>735</v>
      </c>
      <c r="D3" s="189"/>
      <c r="E3" s="189"/>
      <c r="F3" s="189"/>
      <c r="G3" s="188" t="s">
        <v>736</v>
      </c>
      <c r="H3" s="188"/>
      <c r="I3" s="188"/>
      <c r="J3" s="188"/>
    </row>
    <row r="4" spans="1:10" ht="13.5" customHeight="1">
      <c r="A4" s="185" t="s">
        <v>737</v>
      </c>
      <c r="B4" s="186" t="s">
        <v>738</v>
      </c>
      <c r="C4" s="185" t="s">
        <v>739</v>
      </c>
      <c r="D4" s="185" t="s">
        <v>740</v>
      </c>
      <c r="E4" s="185" t="s">
        <v>741</v>
      </c>
      <c r="F4" s="185" t="s">
        <v>742</v>
      </c>
      <c r="G4" s="190" t="s">
        <v>743</v>
      </c>
      <c r="H4" s="190" t="s">
        <v>744</v>
      </c>
      <c r="I4" s="190" t="s">
        <v>745</v>
      </c>
      <c r="J4" s="185" t="s">
        <v>746</v>
      </c>
    </row>
    <row r="5" spans="1:10" ht="13.5" customHeight="1">
      <c r="A5" s="185"/>
      <c r="B5" s="186"/>
      <c r="C5" s="185"/>
      <c r="D5" s="185"/>
      <c r="E5" s="185"/>
      <c r="F5" s="185"/>
      <c r="G5" s="190"/>
      <c r="H5" s="190"/>
      <c r="I5" s="190"/>
      <c r="J5" s="185"/>
    </row>
    <row r="6" spans="1:10" ht="18.75" customHeight="1">
      <c r="A6" s="6">
        <v>1</v>
      </c>
      <c r="B6" s="166" t="s">
        <v>747</v>
      </c>
      <c r="C6" s="10" t="s">
        <v>5</v>
      </c>
      <c r="D6" s="10" t="s">
        <v>748</v>
      </c>
      <c r="E6" s="18" t="s">
        <v>749</v>
      </c>
      <c r="F6" s="18" t="s">
        <v>750</v>
      </c>
      <c r="G6" s="169">
        <v>3</v>
      </c>
      <c r="H6" s="11">
        <v>2</v>
      </c>
      <c r="I6" s="11">
        <v>2</v>
      </c>
      <c r="J6" s="168"/>
    </row>
    <row r="7" spans="1:10" ht="13.5" customHeight="1">
      <c r="A7" s="6">
        <v>2</v>
      </c>
      <c r="B7" s="166"/>
      <c r="C7" s="10" t="s">
        <v>6</v>
      </c>
      <c r="D7" s="10" t="s">
        <v>751</v>
      </c>
      <c r="E7" s="18" t="s">
        <v>749</v>
      </c>
      <c r="F7" s="18" t="s">
        <v>750</v>
      </c>
      <c r="G7" s="169"/>
      <c r="H7" s="11">
        <v>2</v>
      </c>
      <c r="I7" s="11">
        <v>2</v>
      </c>
      <c r="J7" s="168"/>
    </row>
    <row r="8" spans="1:10" ht="18.75" customHeight="1">
      <c r="A8" s="6">
        <v>3</v>
      </c>
      <c r="B8" s="166"/>
      <c r="C8" s="10" t="s">
        <v>7</v>
      </c>
      <c r="D8" s="10" t="s">
        <v>239</v>
      </c>
      <c r="E8" s="18" t="s">
        <v>749</v>
      </c>
      <c r="F8" s="18" t="s">
        <v>750</v>
      </c>
      <c r="G8" s="11">
        <v>1</v>
      </c>
      <c r="H8" s="11">
        <v>1</v>
      </c>
      <c r="I8" s="11">
        <v>2</v>
      </c>
      <c r="J8" s="168"/>
    </row>
    <row r="9" spans="1:10" ht="18.75" customHeight="1">
      <c r="A9" s="6">
        <v>4</v>
      </c>
      <c r="B9" s="166"/>
      <c r="C9" s="10" t="s">
        <v>8</v>
      </c>
      <c r="D9" s="10" t="s">
        <v>240</v>
      </c>
      <c r="E9" s="18" t="s">
        <v>749</v>
      </c>
      <c r="F9" s="18" t="s">
        <v>750</v>
      </c>
      <c r="G9" s="11">
        <v>2</v>
      </c>
      <c r="H9" s="11">
        <v>2</v>
      </c>
      <c r="I9" s="11">
        <v>2</v>
      </c>
      <c r="J9" s="168"/>
    </row>
    <row r="10" spans="1:10" ht="18.75" customHeight="1">
      <c r="A10" s="6">
        <v>5</v>
      </c>
      <c r="B10" s="166"/>
      <c r="C10" s="10" t="s">
        <v>9</v>
      </c>
      <c r="D10" s="10" t="s">
        <v>241</v>
      </c>
      <c r="E10" s="18" t="s">
        <v>749</v>
      </c>
      <c r="F10" s="18" t="s">
        <v>750</v>
      </c>
      <c r="G10" s="11">
        <v>2</v>
      </c>
      <c r="H10" s="11">
        <v>2</v>
      </c>
      <c r="I10" s="11">
        <v>2</v>
      </c>
      <c r="J10" s="168"/>
    </row>
    <row r="11" spans="1:10" ht="18.75" customHeight="1">
      <c r="A11" s="6">
        <v>6</v>
      </c>
      <c r="B11" s="166"/>
      <c r="C11" s="10" t="s">
        <v>10</v>
      </c>
      <c r="D11" s="10" t="s">
        <v>242</v>
      </c>
      <c r="E11" s="18" t="s">
        <v>749</v>
      </c>
      <c r="F11" s="18" t="s">
        <v>750</v>
      </c>
      <c r="G11" s="11">
        <v>2</v>
      </c>
      <c r="H11" s="11">
        <v>2</v>
      </c>
      <c r="I11" s="11">
        <v>2</v>
      </c>
      <c r="J11" s="168"/>
    </row>
    <row r="12" spans="1:10" ht="13.5" customHeight="1">
      <c r="A12" s="6">
        <v>7</v>
      </c>
      <c r="B12" s="166"/>
      <c r="C12" s="10" t="s">
        <v>11</v>
      </c>
      <c r="D12" s="10" t="s">
        <v>243</v>
      </c>
      <c r="E12" s="18" t="s">
        <v>749</v>
      </c>
      <c r="F12" s="18" t="s">
        <v>750</v>
      </c>
      <c r="G12" s="11">
        <v>2</v>
      </c>
      <c r="H12" s="11">
        <v>2</v>
      </c>
      <c r="I12" s="11">
        <v>2</v>
      </c>
      <c r="J12" s="168"/>
    </row>
    <row r="13" spans="1:10" s="49" customFormat="1" ht="13.5" customHeight="1">
      <c r="A13" s="6">
        <v>8</v>
      </c>
      <c r="B13" s="45" t="s">
        <v>752</v>
      </c>
      <c r="C13" s="46"/>
      <c r="D13" s="46"/>
      <c r="E13" s="46"/>
      <c r="F13" s="46"/>
      <c r="G13" s="47">
        <f>SUM(G6:G12)</f>
        <v>12</v>
      </c>
      <c r="H13" s="47">
        <f t="shared" ref="H13:I13" si="0">SUM(H6:H12)</f>
        <v>13</v>
      </c>
      <c r="I13" s="47">
        <f t="shared" si="0"/>
        <v>14</v>
      </c>
      <c r="J13" s="48"/>
    </row>
    <row r="14" spans="1:10">
      <c r="A14" s="6">
        <v>9</v>
      </c>
      <c r="B14" s="166" t="s">
        <v>753</v>
      </c>
      <c r="C14" s="10" t="s">
        <v>249</v>
      </c>
      <c r="D14" s="10" t="s">
        <v>250</v>
      </c>
      <c r="E14" s="18" t="s">
        <v>754</v>
      </c>
      <c r="F14" s="18" t="s">
        <v>755</v>
      </c>
      <c r="G14" s="171">
        <v>3</v>
      </c>
      <c r="H14" s="11">
        <v>2</v>
      </c>
      <c r="I14" s="11">
        <v>2</v>
      </c>
      <c r="J14" s="183"/>
    </row>
    <row r="15" spans="1:10">
      <c r="A15" s="6">
        <v>10</v>
      </c>
      <c r="B15" s="166"/>
      <c r="C15" s="10" t="s">
        <v>17</v>
      </c>
      <c r="D15" s="10" t="s">
        <v>248</v>
      </c>
      <c r="E15" s="18" t="s">
        <v>754</v>
      </c>
      <c r="F15" s="18" t="s">
        <v>755</v>
      </c>
      <c r="G15" s="173"/>
      <c r="H15" s="11">
        <v>2</v>
      </c>
      <c r="I15" s="11">
        <v>2</v>
      </c>
      <c r="J15" s="183"/>
    </row>
    <row r="16" spans="1:10">
      <c r="A16" s="6">
        <v>11</v>
      </c>
      <c r="B16" s="166"/>
      <c r="C16" s="10" t="s">
        <v>16</v>
      </c>
      <c r="D16" s="10" t="s">
        <v>247</v>
      </c>
      <c r="E16" s="18" t="s">
        <v>754</v>
      </c>
      <c r="F16" s="18" t="s">
        <v>755</v>
      </c>
      <c r="G16" s="171">
        <v>3</v>
      </c>
      <c r="H16" s="11">
        <v>2</v>
      </c>
      <c r="I16" s="11">
        <v>2</v>
      </c>
      <c r="J16" s="183"/>
    </row>
    <row r="17" spans="1:10">
      <c r="A17" s="6">
        <v>12</v>
      </c>
      <c r="B17" s="166"/>
      <c r="C17" s="10" t="s">
        <v>15</v>
      </c>
      <c r="D17" s="10" t="s">
        <v>246</v>
      </c>
      <c r="E17" s="18" t="s">
        <v>754</v>
      </c>
      <c r="F17" s="18" t="s">
        <v>755</v>
      </c>
      <c r="G17" s="173"/>
      <c r="H17" s="11">
        <v>2</v>
      </c>
      <c r="I17" s="11">
        <v>2</v>
      </c>
      <c r="J17" s="183"/>
    </row>
    <row r="18" spans="1:10">
      <c r="A18" s="6">
        <v>13</v>
      </c>
      <c r="B18" s="166"/>
      <c r="C18" s="10" t="s">
        <v>14</v>
      </c>
      <c r="D18" s="10" t="s">
        <v>245</v>
      </c>
      <c r="E18" s="18" t="s">
        <v>754</v>
      </c>
      <c r="F18" s="18" t="s">
        <v>755</v>
      </c>
      <c r="G18" s="171">
        <v>3</v>
      </c>
      <c r="H18" s="11">
        <v>2</v>
      </c>
      <c r="I18" s="11">
        <v>2</v>
      </c>
      <c r="J18" s="183"/>
    </row>
    <row r="19" spans="1:10" ht="13.5" customHeight="1">
      <c r="A19" s="6">
        <v>14</v>
      </c>
      <c r="B19" s="166"/>
      <c r="C19" s="10" t="s">
        <v>13</v>
      </c>
      <c r="D19" s="10" t="s">
        <v>244</v>
      </c>
      <c r="E19" s="18" t="s">
        <v>754</v>
      </c>
      <c r="F19" s="18" t="s">
        <v>755</v>
      </c>
      <c r="G19" s="173"/>
      <c r="H19" s="11">
        <v>1</v>
      </c>
      <c r="I19" s="11">
        <v>2</v>
      </c>
      <c r="J19" s="183"/>
    </row>
    <row r="20" spans="1:10">
      <c r="A20" s="6">
        <v>15</v>
      </c>
      <c r="B20" s="166"/>
      <c r="C20" s="10" t="s">
        <v>756</v>
      </c>
      <c r="D20" s="10" t="s">
        <v>757</v>
      </c>
      <c r="E20" s="18" t="s">
        <v>758</v>
      </c>
      <c r="F20" s="18" t="s">
        <v>759</v>
      </c>
      <c r="G20" s="169">
        <v>1</v>
      </c>
      <c r="H20" s="11">
        <v>1</v>
      </c>
      <c r="I20" s="11">
        <v>1</v>
      </c>
      <c r="J20" s="183"/>
    </row>
    <row r="21" spans="1:10">
      <c r="A21" s="6">
        <v>16</v>
      </c>
      <c r="B21" s="166"/>
      <c r="C21" s="10" t="s">
        <v>760</v>
      </c>
      <c r="D21" s="10" t="s">
        <v>761</v>
      </c>
      <c r="E21" s="18" t="s">
        <v>762</v>
      </c>
      <c r="F21" s="18" t="s">
        <v>763</v>
      </c>
      <c r="G21" s="169"/>
      <c r="H21" s="11">
        <v>1</v>
      </c>
      <c r="I21" s="11">
        <v>1</v>
      </c>
      <c r="J21" s="184"/>
    </row>
    <row r="22" spans="1:10" s="54" customFormat="1">
      <c r="A22" s="6">
        <v>17</v>
      </c>
      <c r="B22" s="50" t="s">
        <v>764</v>
      </c>
      <c r="C22" s="51"/>
      <c r="D22" s="51"/>
      <c r="E22" s="51"/>
      <c r="F22" s="51"/>
      <c r="G22" s="52">
        <f>SUM(G14:G21)</f>
        <v>10</v>
      </c>
      <c r="H22" s="52">
        <f>SUM(H14:H21)</f>
        <v>13</v>
      </c>
      <c r="I22" s="52">
        <f>SUM(I14:I21)</f>
        <v>14</v>
      </c>
      <c r="J22" s="53"/>
    </row>
    <row r="23" spans="1:10">
      <c r="A23" s="6">
        <v>18</v>
      </c>
      <c r="B23" s="176" t="s">
        <v>765</v>
      </c>
      <c r="C23" s="13" t="s">
        <v>260</v>
      </c>
      <c r="D23" s="10" t="s">
        <v>766</v>
      </c>
      <c r="E23" s="18" t="s">
        <v>758</v>
      </c>
      <c r="F23" s="18" t="s">
        <v>759</v>
      </c>
      <c r="G23" s="11">
        <v>1</v>
      </c>
      <c r="H23" s="11">
        <v>1</v>
      </c>
      <c r="I23" s="11">
        <v>1</v>
      </c>
      <c r="J23" s="179"/>
    </row>
    <row r="24" spans="1:10">
      <c r="A24" s="6">
        <v>19</v>
      </c>
      <c r="B24" s="177"/>
      <c r="C24" s="13" t="s">
        <v>767</v>
      </c>
      <c r="D24" s="10" t="s">
        <v>768</v>
      </c>
      <c r="E24" s="18" t="s">
        <v>762</v>
      </c>
      <c r="F24" s="18" t="s">
        <v>763</v>
      </c>
      <c r="G24" s="11">
        <v>1</v>
      </c>
      <c r="H24" s="11">
        <v>1</v>
      </c>
      <c r="I24" s="11">
        <v>1</v>
      </c>
      <c r="J24" s="180"/>
    </row>
    <row r="25" spans="1:10">
      <c r="A25" s="6">
        <v>20</v>
      </c>
      <c r="B25" s="177"/>
      <c r="C25" s="13" t="s">
        <v>769</v>
      </c>
      <c r="D25" s="10" t="s">
        <v>770</v>
      </c>
      <c r="E25" s="18" t="s">
        <v>762</v>
      </c>
      <c r="F25" s="18" t="s">
        <v>763</v>
      </c>
      <c r="G25" s="11">
        <v>1</v>
      </c>
      <c r="H25" s="11">
        <v>1</v>
      </c>
      <c r="I25" s="11">
        <v>1</v>
      </c>
      <c r="J25" s="180"/>
    </row>
    <row r="26" spans="1:10">
      <c r="A26" s="6">
        <v>21</v>
      </c>
      <c r="B26" s="177"/>
      <c r="C26" s="13" t="s">
        <v>771</v>
      </c>
      <c r="D26" s="10" t="s">
        <v>772</v>
      </c>
      <c r="E26" s="18" t="s">
        <v>762</v>
      </c>
      <c r="F26" s="18" t="s">
        <v>763</v>
      </c>
      <c r="G26" s="11">
        <v>1</v>
      </c>
      <c r="H26" s="11">
        <v>1</v>
      </c>
      <c r="I26" s="11">
        <v>1</v>
      </c>
      <c r="J26" s="180"/>
    </row>
    <row r="27" spans="1:10">
      <c r="A27" s="6">
        <v>22</v>
      </c>
      <c r="B27" s="177"/>
      <c r="C27" s="13" t="s">
        <v>33</v>
      </c>
      <c r="D27" s="10" t="s">
        <v>34</v>
      </c>
      <c r="E27" s="18" t="s">
        <v>762</v>
      </c>
      <c r="F27" s="18" t="s">
        <v>763</v>
      </c>
      <c r="G27" s="169">
        <v>3</v>
      </c>
      <c r="H27" s="11">
        <v>1</v>
      </c>
      <c r="I27" s="11">
        <v>1</v>
      </c>
      <c r="J27" s="180"/>
    </row>
    <row r="28" spans="1:10">
      <c r="A28" s="6">
        <v>23</v>
      </c>
      <c r="B28" s="177"/>
      <c r="C28" s="13" t="s">
        <v>31</v>
      </c>
      <c r="D28" s="10" t="s">
        <v>32</v>
      </c>
      <c r="E28" s="18" t="s">
        <v>762</v>
      </c>
      <c r="F28" s="18" t="s">
        <v>763</v>
      </c>
      <c r="G28" s="169"/>
      <c r="H28" s="11">
        <v>1</v>
      </c>
      <c r="I28" s="11">
        <v>1</v>
      </c>
      <c r="J28" s="180"/>
    </row>
    <row r="29" spans="1:10">
      <c r="A29" s="6">
        <v>24</v>
      </c>
      <c r="B29" s="177"/>
      <c r="C29" s="11" t="s">
        <v>29</v>
      </c>
      <c r="D29" s="10" t="s">
        <v>30</v>
      </c>
      <c r="E29" s="18" t="s">
        <v>762</v>
      </c>
      <c r="F29" s="18" t="s">
        <v>763</v>
      </c>
      <c r="G29" s="169"/>
      <c r="H29" s="11">
        <v>2</v>
      </c>
      <c r="I29" s="11">
        <v>2</v>
      </c>
      <c r="J29" s="180"/>
    </row>
    <row r="30" spans="1:10">
      <c r="A30" s="6">
        <v>25</v>
      </c>
      <c r="B30" s="177"/>
      <c r="C30" s="11" t="s">
        <v>28</v>
      </c>
      <c r="D30" s="10" t="s">
        <v>773</v>
      </c>
      <c r="E30" s="18" t="s">
        <v>762</v>
      </c>
      <c r="F30" s="18" t="s">
        <v>763</v>
      </c>
      <c r="G30" s="11">
        <v>2</v>
      </c>
      <c r="H30" s="11">
        <v>3</v>
      </c>
      <c r="I30" s="11">
        <v>4</v>
      </c>
      <c r="J30" s="180"/>
    </row>
    <row r="31" spans="1:10">
      <c r="A31" s="6">
        <v>26</v>
      </c>
      <c r="B31" s="177"/>
      <c r="C31" s="11" t="s">
        <v>27</v>
      </c>
      <c r="D31" s="10" t="s">
        <v>774</v>
      </c>
      <c r="E31" s="18" t="s">
        <v>762</v>
      </c>
      <c r="F31" s="18" t="s">
        <v>763</v>
      </c>
      <c r="G31" s="11">
        <v>2</v>
      </c>
      <c r="H31" s="11">
        <v>2</v>
      </c>
      <c r="I31" s="11">
        <v>2</v>
      </c>
      <c r="J31" s="180"/>
    </row>
    <row r="32" spans="1:10">
      <c r="A32" s="6">
        <v>27</v>
      </c>
      <c r="B32" s="177"/>
      <c r="C32" s="11" t="s">
        <v>26</v>
      </c>
      <c r="D32" s="10" t="s">
        <v>775</v>
      </c>
      <c r="E32" s="18" t="s">
        <v>762</v>
      </c>
      <c r="F32" s="18" t="s">
        <v>763</v>
      </c>
      <c r="G32" s="11">
        <v>3</v>
      </c>
      <c r="H32" s="11">
        <v>4</v>
      </c>
      <c r="I32" s="11">
        <v>4</v>
      </c>
      <c r="J32" s="180"/>
    </row>
    <row r="33" spans="1:10">
      <c r="A33" s="6">
        <v>28</v>
      </c>
      <c r="B33" s="177"/>
      <c r="C33" s="10" t="s">
        <v>25</v>
      </c>
      <c r="D33" s="10" t="s">
        <v>776</v>
      </c>
      <c r="E33" s="18" t="s">
        <v>762</v>
      </c>
      <c r="F33" s="18" t="s">
        <v>763</v>
      </c>
      <c r="G33" s="171">
        <v>6</v>
      </c>
      <c r="H33" s="11">
        <v>4</v>
      </c>
      <c r="I33" s="11">
        <v>4</v>
      </c>
      <c r="J33" s="180"/>
    </row>
    <row r="34" spans="1:10">
      <c r="A34" s="6">
        <v>29</v>
      </c>
      <c r="B34" s="177"/>
      <c r="C34" s="10" t="s">
        <v>24</v>
      </c>
      <c r="D34" s="10" t="s">
        <v>777</v>
      </c>
      <c r="E34" s="18" t="s">
        <v>762</v>
      </c>
      <c r="F34" s="18" t="s">
        <v>763</v>
      </c>
      <c r="G34" s="173"/>
      <c r="H34" s="11">
        <v>4</v>
      </c>
      <c r="I34" s="11">
        <v>4</v>
      </c>
      <c r="J34" s="180"/>
    </row>
    <row r="35" spans="1:10">
      <c r="A35" s="6">
        <v>30</v>
      </c>
      <c r="B35" s="177"/>
      <c r="C35" s="10" t="s">
        <v>23</v>
      </c>
      <c r="D35" s="10" t="s">
        <v>778</v>
      </c>
      <c r="E35" s="18" t="s">
        <v>762</v>
      </c>
      <c r="F35" s="18" t="s">
        <v>763</v>
      </c>
      <c r="G35" s="11">
        <v>2</v>
      </c>
      <c r="H35" s="11">
        <v>2</v>
      </c>
      <c r="I35" s="11">
        <v>2</v>
      </c>
      <c r="J35" s="180"/>
    </row>
    <row r="36" spans="1:10" ht="13.5" customHeight="1">
      <c r="A36" s="6">
        <v>31</v>
      </c>
      <c r="B36" s="177"/>
      <c r="C36" s="10" t="s">
        <v>22</v>
      </c>
      <c r="D36" s="10" t="s">
        <v>779</v>
      </c>
      <c r="E36" s="18" t="s">
        <v>762</v>
      </c>
      <c r="F36" s="18" t="s">
        <v>763</v>
      </c>
      <c r="G36" s="11">
        <v>2</v>
      </c>
      <c r="H36" s="11">
        <v>2</v>
      </c>
      <c r="I36" s="11">
        <v>2</v>
      </c>
      <c r="J36" s="181"/>
    </row>
    <row r="37" spans="1:10" s="49" customFormat="1">
      <c r="A37" s="6">
        <v>32</v>
      </c>
      <c r="B37" s="45" t="s">
        <v>780</v>
      </c>
      <c r="C37" s="46"/>
      <c r="D37" s="46"/>
      <c r="E37" s="46"/>
      <c r="F37" s="46"/>
      <c r="G37" s="47">
        <f>SUM(G23:G36)</f>
        <v>24</v>
      </c>
      <c r="H37" s="47">
        <f t="shared" ref="H37:I37" si="1">SUM(H23:H36)</f>
        <v>29</v>
      </c>
      <c r="I37" s="47">
        <f t="shared" si="1"/>
        <v>30</v>
      </c>
      <c r="J37" s="48"/>
    </row>
    <row r="38" spans="1:10">
      <c r="A38" s="6">
        <v>33</v>
      </c>
      <c r="B38" s="176" t="s">
        <v>781</v>
      </c>
      <c r="C38" s="11" t="s">
        <v>43</v>
      </c>
      <c r="D38" s="18" t="s">
        <v>782</v>
      </c>
      <c r="E38" s="18" t="s">
        <v>762</v>
      </c>
      <c r="F38" s="18" t="s">
        <v>763</v>
      </c>
      <c r="G38" s="11">
        <v>1</v>
      </c>
      <c r="H38" s="11">
        <v>1</v>
      </c>
      <c r="I38" s="11">
        <v>1</v>
      </c>
      <c r="J38" s="182"/>
    </row>
    <row r="39" spans="1:10">
      <c r="A39" s="6">
        <v>34</v>
      </c>
      <c r="B39" s="177"/>
      <c r="C39" s="11" t="s">
        <v>42</v>
      </c>
      <c r="D39" s="18" t="s">
        <v>783</v>
      </c>
      <c r="E39" s="18" t="s">
        <v>762</v>
      </c>
      <c r="F39" s="18" t="s">
        <v>763</v>
      </c>
      <c r="G39" s="11">
        <v>1</v>
      </c>
      <c r="H39" s="11">
        <v>1</v>
      </c>
      <c r="I39" s="11">
        <v>1</v>
      </c>
      <c r="J39" s="182"/>
    </row>
    <row r="40" spans="1:10">
      <c r="A40" s="6">
        <v>35</v>
      </c>
      <c r="B40" s="177"/>
      <c r="C40" s="11" t="s">
        <v>41</v>
      </c>
      <c r="D40" s="18" t="s">
        <v>784</v>
      </c>
      <c r="E40" s="18" t="s">
        <v>762</v>
      </c>
      <c r="F40" s="18" t="s">
        <v>763</v>
      </c>
      <c r="G40" s="171">
        <v>3</v>
      </c>
      <c r="H40" s="11">
        <v>2</v>
      </c>
      <c r="I40" s="11">
        <v>2</v>
      </c>
      <c r="J40" s="182"/>
    </row>
    <row r="41" spans="1:10">
      <c r="A41" s="6">
        <v>36</v>
      </c>
      <c r="B41" s="177"/>
      <c r="C41" s="11" t="s">
        <v>40</v>
      </c>
      <c r="D41" s="18" t="s">
        <v>785</v>
      </c>
      <c r="E41" s="18" t="s">
        <v>762</v>
      </c>
      <c r="F41" s="18" t="s">
        <v>763</v>
      </c>
      <c r="G41" s="173"/>
      <c r="H41" s="11">
        <v>2</v>
      </c>
      <c r="I41" s="11">
        <v>2</v>
      </c>
      <c r="J41" s="182"/>
    </row>
    <row r="42" spans="1:10">
      <c r="A42" s="6">
        <v>37</v>
      </c>
      <c r="B42" s="177"/>
      <c r="C42" s="11" t="s">
        <v>47</v>
      </c>
      <c r="D42" s="18" t="s">
        <v>786</v>
      </c>
      <c r="E42" s="18" t="s">
        <v>762</v>
      </c>
      <c r="F42" s="18" t="s">
        <v>763</v>
      </c>
      <c r="G42" s="11">
        <v>1</v>
      </c>
      <c r="H42" s="11">
        <v>1</v>
      </c>
      <c r="I42" s="11">
        <v>1</v>
      </c>
      <c r="J42" s="182"/>
    </row>
    <row r="43" spans="1:10">
      <c r="A43" s="6">
        <v>38</v>
      </c>
      <c r="B43" s="177"/>
      <c r="C43" s="11" t="s">
        <v>46</v>
      </c>
      <c r="D43" s="18" t="s">
        <v>787</v>
      </c>
      <c r="E43" s="18" t="s">
        <v>762</v>
      </c>
      <c r="F43" s="18" t="s">
        <v>763</v>
      </c>
      <c r="G43" s="11">
        <v>1</v>
      </c>
      <c r="H43" s="11">
        <v>1</v>
      </c>
      <c r="I43" s="11">
        <v>1</v>
      </c>
      <c r="J43" s="10"/>
    </row>
    <row r="44" spans="1:10">
      <c r="A44" s="6">
        <v>39</v>
      </c>
      <c r="B44" s="177"/>
      <c r="C44" s="11" t="s">
        <v>45</v>
      </c>
      <c r="D44" s="18" t="s">
        <v>788</v>
      </c>
      <c r="E44" s="18" t="s">
        <v>762</v>
      </c>
      <c r="F44" s="18" t="s">
        <v>763</v>
      </c>
      <c r="G44" s="171">
        <v>3</v>
      </c>
      <c r="H44" s="11">
        <v>2</v>
      </c>
      <c r="I44" s="11">
        <v>2</v>
      </c>
      <c r="J44" s="10"/>
    </row>
    <row r="45" spans="1:10">
      <c r="A45" s="6">
        <v>40</v>
      </c>
      <c r="B45" s="178"/>
      <c r="C45" s="11" t="s">
        <v>44</v>
      </c>
      <c r="D45" s="18" t="s">
        <v>789</v>
      </c>
      <c r="E45" s="18" t="s">
        <v>762</v>
      </c>
      <c r="F45" s="18" t="s">
        <v>763</v>
      </c>
      <c r="G45" s="173"/>
      <c r="H45" s="11">
        <v>2</v>
      </c>
      <c r="I45" s="11">
        <v>2</v>
      </c>
      <c r="J45" s="10"/>
    </row>
    <row r="46" spans="1:10" s="49" customFormat="1">
      <c r="A46" s="6">
        <v>41</v>
      </c>
      <c r="B46" s="45" t="s">
        <v>790</v>
      </c>
      <c r="C46" s="46"/>
      <c r="D46" s="46"/>
      <c r="E46" s="46"/>
      <c r="F46" s="46"/>
      <c r="G46" s="47">
        <f>SUM(G38:G45)</f>
        <v>10</v>
      </c>
      <c r="H46" s="47">
        <f t="shared" ref="H46:I46" si="2">SUM(H38:H45)</f>
        <v>12</v>
      </c>
      <c r="I46" s="47">
        <f t="shared" si="2"/>
        <v>12</v>
      </c>
      <c r="J46" s="48"/>
    </row>
    <row r="47" spans="1:10" s="60" customFormat="1" ht="20.25" customHeight="1">
      <c r="A47" s="6">
        <v>42</v>
      </c>
      <c r="B47" s="56" t="s">
        <v>791</v>
      </c>
      <c r="C47" s="57"/>
      <c r="D47" s="57"/>
      <c r="E47" s="57"/>
      <c r="F47" s="57"/>
      <c r="G47" s="58">
        <f>G13+G22+G37+G46</f>
        <v>56</v>
      </c>
      <c r="H47" s="58">
        <f>H13+H22+H37+H46</f>
        <v>67</v>
      </c>
      <c r="I47" s="58">
        <f>I13+I22+I37+I46</f>
        <v>70</v>
      </c>
      <c r="J47" s="59"/>
    </row>
    <row r="48" spans="1:10" ht="15" customHeight="1">
      <c r="A48" s="6">
        <v>43</v>
      </c>
      <c r="B48" s="176" t="s">
        <v>792</v>
      </c>
      <c r="C48" s="22" t="s">
        <v>793</v>
      </c>
      <c r="D48" s="18" t="s">
        <v>50</v>
      </c>
      <c r="E48" s="18" t="s">
        <v>762</v>
      </c>
      <c r="F48" s="18" t="s">
        <v>794</v>
      </c>
      <c r="G48" s="169">
        <v>2</v>
      </c>
      <c r="H48" s="169">
        <v>2</v>
      </c>
      <c r="I48" s="11">
        <v>1</v>
      </c>
      <c r="J48" s="10"/>
    </row>
    <row r="49" spans="1:10" ht="15" customHeight="1">
      <c r="A49" s="6">
        <v>44</v>
      </c>
      <c r="B49" s="177"/>
      <c r="C49" s="22" t="s">
        <v>795</v>
      </c>
      <c r="D49" s="18" t="s">
        <v>796</v>
      </c>
      <c r="E49" s="18" t="s">
        <v>762</v>
      </c>
      <c r="F49" s="18" t="s">
        <v>794</v>
      </c>
      <c r="G49" s="169"/>
      <c r="H49" s="169"/>
      <c r="I49" s="11">
        <v>1</v>
      </c>
      <c r="J49" s="10"/>
    </row>
    <row r="50" spans="1:10" ht="15" customHeight="1">
      <c r="A50" s="6">
        <v>45</v>
      </c>
      <c r="B50" s="177"/>
      <c r="C50" s="22" t="s">
        <v>797</v>
      </c>
      <c r="D50" s="18" t="s">
        <v>53</v>
      </c>
      <c r="E50" s="18" t="s">
        <v>762</v>
      </c>
      <c r="F50" s="18" t="s">
        <v>794</v>
      </c>
      <c r="G50" s="169"/>
      <c r="H50" s="169"/>
      <c r="I50" s="11">
        <v>1</v>
      </c>
      <c r="J50" s="10"/>
    </row>
    <row r="51" spans="1:10" ht="15" customHeight="1">
      <c r="A51" s="6">
        <v>46</v>
      </c>
      <c r="B51" s="177"/>
      <c r="C51" s="22" t="s">
        <v>798</v>
      </c>
      <c r="D51" s="18" t="s">
        <v>799</v>
      </c>
      <c r="E51" s="18" t="s">
        <v>762</v>
      </c>
      <c r="F51" s="18" t="s">
        <v>794</v>
      </c>
      <c r="G51" s="169">
        <v>1</v>
      </c>
      <c r="H51" s="169">
        <v>1</v>
      </c>
      <c r="I51" s="11">
        <v>1</v>
      </c>
      <c r="J51" s="10"/>
    </row>
    <row r="52" spans="1:10" ht="15" customHeight="1">
      <c r="A52" s="6">
        <v>47</v>
      </c>
      <c r="B52" s="177"/>
      <c r="C52" s="22" t="s">
        <v>800</v>
      </c>
      <c r="D52" s="18" t="s">
        <v>801</v>
      </c>
      <c r="E52" s="18" t="s">
        <v>762</v>
      </c>
      <c r="F52" s="18" t="s">
        <v>794</v>
      </c>
      <c r="G52" s="169"/>
      <c r="H52" s="169"/>
      <c r="I52" s="11">
        <v>1</v>
      </c>
      <c r="J52" s="10"/>
    </row>
    <row r="53" spans="1:10" ht="15" customHeight="1">
      <c r="A53" s="6">
        <v>48</v>
      </c>
      <c r="B53" s="177"/>
      <c r="C53" s="22" t="s">
        <v>802</v>
      </c>
      <c r="D53" s="61" t="s">
        <v>57</v>
      </c>
      <c r="E53" s="18" t="s">
        <v>762</v>
      </c>
      <c r="F53" s="18" t="s">
        <v>794</v>
      </c>
      <c r="G53" s="169">
        <v>2</v>
      </c>
      <c r="H53" s="169">
        <v>2</v>
      </c>
      <c r="I53" s="11">
        <v>1</v>
      </c>
      <c r="J53" s="10"/>
    </row>
    <row r="54" spans="1:10" ht="15" customHeight="1">
      <c r="A54" s="6">
        <v>49</v>
      </c>
      <c r="B54" s="177"/>
      <c r="C54" s="22" t="s">
        <v>803</v>
      </c>
      <c r="D54" s="18" t="s">
        <v>59</v>
      </c>
      <c r="E54" s="18" t="s">
        <v>762</v>
      </c>
      <c r="F54" s="18" t="s">
        <v>794</v>
      </c>
      <c r="G54" s="169"/>
      <c r="H54" s="169"/>
      <c r="I54" s="11">
        <v>2</v>
      </c>
      <c r="J54" s="10"/>
    </row>
    <row r="55" spans="1:10" ht="15" customHeight="1">
      <c r="A55" s="6">
        <v>50</v>
      </c>
      <c r="B55" s="177"/>
      <c r="C55" s="22" t="s">
        <v>804</v>
      </c>
      <c r="D55" s="18" t="s">
        <v>59</v>
      </c>
      <c r="E55" s="18" t="s">
        <v>762</v>
      </c>
      <c r="F55" s="18" t="s">
        <v>794</v>
      </c>
      <c r="G55" s="169"/>
      <c r="H55" s="169"/>
      <c r="I55" s="11">
        <v>1</v>
      </c>
      <c r="J55" s="10"/>
    </row>
    <row r="56" spans="1:10" ht="15" customHeight="1">
      <c r="A56" s="6">
        <v>51</v>
      </c>
      <c r="B56" s="177"/>
      <c r="C56" s="22" t="s">
        <v>805</v>
      </c>
      <c r="D56" s="18" t="s">
        <v>806</v>
      </c>
      <c r="E56" s="18" t="s">
        <v>762</v>
      </c>
      <c r="F56" s="18" t="s">
        <v>794</v>
      </c>
      <c r="G56" s="169">
        <v>3</v>
      </c>
      <c r="H56" s="169">
        <v>3</v>
      </c>
      <c r="I56" s="11">
        <v>1</v>
      </c>
      <c r="J56" s="10"/>
    </row>
    <row r="57" spans="1:10" ht="15" customHeight="1">
      <c r="A57" s="6">
        <v>52</v>
      </c>
      <c r="B57" s="177"/>
      <c r="C57" s="22" t="s">
        <v>807</v>
      </c>
      <c r="D57" s="18" t="s">
        <v>808</v>
      </c>
      <c r="E57" s="18" t="s">
        <v>762</v>
      </c>
      <c r="F57" s="18" t="s">
        <v>794</v>
      </c>
      <c r="G57" s="169"/>
      <c r="H57" s="169"/>
      <c r="I57" s="11">
        <v>3</v>
      </c>
      <c r="J57" s="10"/>
    </row>
    <row r="58" spans="1:10" ht="15" customHeight="1">
      <c r="A58" s="6">
        <v>53</v>
      </c>
      <c r="B58" s="177"/>
      <c r="C58" s="22" t="s">
        <v>809</v>
      </c>
      <c r="D58" s="18" t="s">
        <v>808</v>
      </c>
      <c r="E58" s="18" t="s">
        <v>762</v>
      </c>
      <c r="F58" s="18" t="s">
        <v>794</v>
      </c>
      <c r="G58" s="11">
        <v>1</v>
      </c>
      <c r="H58" s="11">
        <v>2</v>
      </c>
      <c r="I58" s="11">
        <v>3</v>
      </c>
      <c r="J58" s="10"/>
    </row>
    <row r="59" spans="1:10" ht="15" customHeight="1">
      <c r="A59" s="6">
        <v>54</v>
      </c>
      <c r="B59" s="166" t="s">
        <v>810</v>
      </c>
      <c r="C59" s="22" t="s">
        <v>811</v>
      </c>
      <c r="D59" s="18" t="s">
        <v>812</v>
      </c>
      <c r="E59" s="18" t="s">
        <v>762</v>
      </c>
      <c r="F59" s="18" t="s">
        <v>794</v>
      </c>
      <c r="G59" s="169">
        <v>2</v>
      </c>
      <c r="H59" s="169">
        <v>2</v>
      </c>
      <c r="I59" s="11">
        <v>1</v>
      </c>
      <c r="J59" s="10"/>
    </row>
    <row r="60" spans="1:10" ht="15" customHeight="1">
      <c r="A60" s="6">
        <v>55</v>
      </c>
      <c r="B60" s="166"/>
      <c r="C60" s="22" t="s">
        <v>813</v>
      </c>
      <c r="D60" s="18" t="s">
        <v>814</v>
      </c>
      <c r="E60" s="18" t="s">
        <v>815</v>
      </c>
      <c r="F60" s="18" t="s">
        <v>816</v>
      </c>
      <c r="G60" s="169"/>
      <c r="H60" s="169"/>
      <c r="I60" s="11">
        <v>1</v>
      </c>
      <c r="J60" s="10"/>
    </row>
    <row r="61" spans="1:10" ht="15" customHeight="1">
      <c r="A61" s="6">
        <v>56</v>
      </c>
      <c r="B61" s="166"/>
      <c r="C61" s="22" t="s">
        <v>817</v>
      </c>
      <c r="D61" s="18" t="s">
        <v>818</v>
      </c>
      <c r="E61" s="18" t="s">
        <v>815</v>
      </c>
      <c r="F61" s="18" t="s">
        <v>816</v>
      </c>
      <c r="G61" s="169"/>
      <c r="H61" s="169"/>
      <c r="I61" s="11">
        <v>1</v>
      </c>
      <c r="J61" s="10"/>
    </row>
    <row r="62" spans="1:10" ht="15" customHeight="1">
      <c r="A62" s="6">
        <v>57</v>
      </c>
      <c r="B62" s="166"/>
      <c r="C62" s="22" t="s">
        <v>819</v>
      </c>
      <c r="D62" s="18" t="s">
        <v>820</v>
      </c>
      <c r="E62" s="18" t="s">
        <v>815</v>
      </c>
      <c r="F62" s="18" t="s">
        <v>816</v>
      </c>
      <c r="G62" s="169">
        <v>1</v>
      </c>
      <c r="H62" s="169">
        <v>1</v>
      </c>
      <c r="I62" s="11">
        <v>1</v>
      </c>
      <c r="J62" s="10"/>
    </row>
    <row r="63" spans="1:10" ht="15" customHeight="1">
      <c r="A63" s="6">
        <v>58</v>
      </c>
      <c r="B63" s="166"/>
      <c r="C63" s="22" t="s">
        <v>821</v>
      </c>
      <c r="D63" s="18" t="s">
        <v>69</v>
      </c>
      <c r="E63" s="18" t="s">
        <v>815</v>
      </c>
      <c r="F63" s="18" t="s">
        <v>816</v>
      </c>
      <c r="G63" s="169"/>
      <c r="H63" s="169"/>
      <c r="I63" s="11">
        <v>1</v>
      </c>
      <c r="J63" s="10"/>
    </row>
    <row r="64" spans="1:10" ht="15" customHeight="1">
      <c r="A64" s="6">
        <v>59</v>
      </c>
      <c r="B64" s="166"/>
      <c r="C64" s="22" t="s">
        <v>822</v>
      </c>
      <c r="D64" s="61" t="s">
        <v>71</v>
      </c>
      <c r="E64" s="18" t="s">
        <v>815</v>
      </c>
      <c r="F64" s="18" t="s">
        <v>816</v>
      </c>
      <c r="G64" s="169">
        <v>2</v>
      </c>
      <c r="H64" s="169">
        <v>2</v>
      </c>
      <c r="I64" s="11">
        <v>1</v>
      </c>
      <c r="J64" s="10"/>
    </row>
    <row r="65" spans="1:10" ht="15" customHeight="1">
      <c r="A65" s="6">
        <v>60</v>
      </c>
      <c r="B65" s="166"/>
      <c r="C65" s="22" t="s">
        <v>823</v>
      </c>
      <c r="D65" s="18" t="s">
        <v>73</v>
      </c>
      <c r="E65" s="18" t="s">
        <v>815</v>
      </c>
      <c r="F65" s="18" t="s">
        <v>816</v>
      </c>
      <c r="G65" s="169"/>
      <c r="H65" s="169"/>
      <c r="I65" s="11">
        <v>2</v>
      </c>
      <c r="J65" s="10"/>
    </row>
    <row r="66" spans="1:10" ht="15" customHeight="1">
      <c r="A66" s="6">
        <v>61</v>
      </c>
      <c r="B66" s="166"/>
      <c r="C66" s="22" t="s">
        <v>824</v>
      </c>
      <c r="D66" s="18" t="s">
        <v>73</v>
      </c>
      <c r="E66" s="18" t="s">
        <v>815</v>
      </c>
      <c r="F66" s="18" t="s">
        <v>816</v>
      </c>
      <c r="G66" s="169"/>
      <c r="H66" s="169"/>
      <c r="I66" s="11">
        <v>1</v>
      </c>
      <c r="J66" s="10"/>
    </row>
    <row r="67" spans="1:10" ht="15" customHeight="1">
      <c r="A67" s="6">
        <v>62</v>
      </c>
      <c r="B67" s="166"/>
      <c r="C67" s="22" t="s">
        <v>825</v>
      </c>
      <c r="D67" s="18" t="s">
        <v>76</v>
      </c>
      <c r="E67" s="18" t="s">
        <v>815</v>
      </c>
      <c r="F67" s="18" t="s">
        <v>816</v>
      </c>
      <c r="G67" s="169">
        <v>3</v>
      </c>
      <c r="H67" s="169">
        <v>3</v>
      </c>
      <c r="I67" s="11">
        <v>1</v>
      </c>
      <c r="J67" s="10"/>
    </row>
    <row r="68" spans="1:10" ht="15" customHeight="1">
      <c r="A68" s="6">
        <v>63</v>
      </c>
      <c r="B68" s="166"/>
      <c r="C68" s="22" t="s">
        <v>826</v>
      </c>
      <c r="D68" s="18" t="s">
        <v>73</v>
      </c>
      <c r="E68" s="18" t="s">
        <v>815</v>
      </c>
      <c r="F68" s="18" t="s">
        <v>816</v>
      </c>
      <c r="G68" s="169"/>
      <c r="H68" s="169"/>
      <c r="I68" s="11">
        <v>3</v>
      </c>
      <c r="J68" s="10"/>
    </row>
    <row r="69" spans="1:10" ht="15" customHeight="1">
      <c r="A69" s="6">
        <v>64</v>
      </c>
      <c r="B69" s="166"/>
      <c r="C69" s="22" t="s">
        <v>827</v>
      </c>
      <c r="D69" s="18" t="s">
        <v>73</v>
      </c>
      <c r="E69" s="18" t="s">
        <v>815</v>
      </c>
      <c r="F69" s="18" t="s">
        <v>816</v>
      </c>
      <c r="G69" s="11">
        <v>1</v>
      </c>
      <c r="H69" s="11">
        <v>2</v>
      </c>
      <c r="I69" s="11">
        <v>3</v>
      </c>
      <c r="J69" s="10"/>
    </row>
    <row r="70" spans="1:10" s="49" customFormat="1">
      <c r="A70" s="6">
        <v>65</v>
      </c>
      <c r="B70" s="45" t="s">
        <v>752</v>
      </c>
      <c r="C70" s="46"/>
      <c r="D70" s="46"/>
      <c r="E70" s="46"/>
      <c r="F70" s="46"/>
      <c r="G70" s="47">
        <f>SUM(G48:G69)</f>
        <v>18</v>
      </c>
      <c r="H70" s="47">
        <f t="shared" ref="H70:I70" si="3">SUM(H48:H69)</f>
        <v>20</v>
      </c>
      <c r="I70" s="47">
        <f t="shared" si="3"/>
        <v>32</v>
      </c>
      <c r="J70" s="48"/>
    </row>
    <row r="71" spans="1:10" ht="21.6">
      <c r="A71" s="6">
        <v>66</v>
      </c>
      <c r="B71" s="166" t="s">
        <v>828</v>
      </c>
      <c r="C71" s="18" t="s">
        <v>829</v>
      </c>
      <c r="D71" s="18" t="s">
        <v>830</v>
      </c>
      <c r="E71" s="18" t="s">
        <v>831</v>
      </c>
      <c r="F71" s="18" t="s">
        <v>816</v>
      </c>
      <c r="G71" s="11">
        <v>0</v>
      </c>
      <c r="H71" s="11">
        <v>0</v>
      </c>
      <c r="I71" s="11">
        <v>0</v>
      </c>
      <c r="J71" s="10"/>
    </row>
    <row r="72" spans="1:10" ht="21.6">
      <c r="A72" s="6">
        <v>67</v>
      </c>
      <c r="B72" s="166"/>
      <c r="C72" s="18" t="s">
        <v>832</v>
      </c>
      <c r="D72" s="18" t="s">
        <v>833</v>
      </c>
      <c r="E72" s="18" t="s">
        <v>831</v>
      </c>
      <c r="F72" s="18" t="s">
        <v>816</v>
      </c>
      <c r="G72" s="11">
        <v>0</v>
      </c>
      <c r="H72" s="11">
        <v>0</v>
      </c>
      <c r="I72" s="11">
        <v>0</v>
      </c>
      <c r="J72" s="10"/>
    </row>
    <row r="73" spans="1:10" ht="21.6">
      <c r="A73" s="6">
        <v>68</v>
      </c>
      <c r="B73" s="166"/>
      <c r="C73" s="18" t="s">
        <v>834</v>
      </c>
      <c r="D73" s="18" t="s">
        <v>835</v>
      </c>
      <c r="E73" s="18" t="s">
        <v>831</v>
      </c>
      <c r="F73" s="18" t="s">
        <v>816</v>
      </c>
      <c r="G73" s="11">
        <v>1</v>
      </c>
      <c r="H73" s="11">
        <v>1</v>
      </c>
      <c r="I73" s="11">
        <v>1</v>
      </c>
      <c r="J73" s="10"/>
    </row>
    <row r="74" spans="1:10" ht="21.6">
      <c r="A74" s="6">
        <v>69</v>
      </c>
      <c r="B74" s="166"/>
      <c r="C74" s="18" t="s">
        <v>836</v>
      </c>
      <c r="D74" s="18" t="s">
        <v>837</v>
      </c>
      <c r="E74" s="18" t="s">
        <v>831</v>
      </c>
      <c r="F74" s="18" t="s">
        <v>816</v>
      </c>
      <c r="G74" s="11">
        <v>0</v>
      </c>
      <c r="H74" s="11">
        <v>0</v>
      </c>
      <c r="I74" s="11">
        <v>0</v>
      </c>
      <c r="J74" s="10"/>
    </row>
    <row r="75" spans="1:10" ht="21.6">
      <c r="A75" s="6">
        <v>70</v>
      </c>
      <c r="B75" s="166"/>
      <c r="C75" s="18" t="s">
        <v>838</v>
      </c>
      <c r="D75" s="18" t="s">
        <v>839</v>
      </c>
      <c r="E75" s="18" t="s">
        <v>831</v>
      </c>
      <c r="F75" s="18" t="s">
        <v>816</v>
      </c>
      <c r="G75" s="11">
        <v>2</v>
      </c>
      <c r="H75" s="11">
        <v>2</v>
      </c>
      <c r="I75" s="11">
        <v>2</v>
      </c>
      <c r="J75" s="10"/>
    </row>
    <row r="76" spans="1:10" ht="21.6">
      <c r="A76" s="6">
        <v>71</v>
      </c>
      <c r="B76" s="166"/>
      <c r="C76" s="18" t="s">
        <v>840</v>
      </c>
      <c r="D76" s="18" t="s">
        <v>841</v>
      </c>
      <c r="E76" s="18" t="s">
        <v>842</v>
      </c>
      <c r="F76" s="18" t="s">
        <v>816</v>
      </c>
      <c r="G76" s="11">
        <v>0</v>
      </c>
      <c r="H76" s="11">
        <v>0</v>
      </c>
      <c r="I76" s="11">
        <v>0</v>
      </c>
      <c r="J76" s="10"/>
    </row>
    <row r="77" spans="1:10" ht="21.6">
      <c r="A77" s="6">
        <v>72</v>
      </c>
      <c r="B77" s="166"/>
      <c r="C77" s="18" t="s">
        <v>843</v>
      </c>
      <c r="D77" s="18" t="s">
        <v>87</v>
      </c>
      <c r="E77" s="18" t="s">
        <v>831</v>
      </c>
      <c r="F77" s="18" t="s">
        <v>816</v>
      </c>
      <c r="G77" s="11">
        <v>0</v>
      </c>
      <c r="H77" s="11">
        <v>0</v>
      </c>
      <c r="I77" s="11">
        <v>0</v>
      </c>
      <c r="J77" s="10"/>
    </row>
    <row r="78" spans="1:10" ht="21.6">
      <c r="A78" s="6">
        <v>73</v>
      </c>
      <c r="B78" s="166"/>
      <c r="C78" s="18" t="s">
        <v>844</v>
      </c>
      <c r="D78" s="18" t="s">
        <v>89</v>
      </c>
      <c r="E78" s="18" t="s">
        <v>831</v>
      </c>
      <c r="F78" s="18" t="s">
        <v>816</v>
      </c>
      <c r="G78" s="11">
        <v>0</v>
      </c>
      <c r="H78" s="11">
        <v>0</v>
      </c>
      <c r="I78" s="11">
        <v>0</v>
      </c>
      <c r="J78" s="10"/>
    </row>
    <row r="79" spans="1:10" ht="21.6">
      <c r="A79" s="6">
        <v>74</v>
      </c>
      <c r="B79" s="166"/>
      <c r="C79" s="18" t="s">
        <v>845</v>
      </c>
      <c r="D79" s="18" t="s">
        <v>91</v>
      </c>
      <c r="E79" s="18" t="s">
        <v>831</v>
      </c>
      <c r="F79" s="18" t="s">
        <v>816</v>
      </c>
      <c r="G79" s="11">
        <v>1</v>
      </c>
      <c r="H79" s="11">
        <v>1</v>
      </c>
      <c r="I79" s="11">
        <v>1</v>
      </c>
      <c r="J79" s="10"/>
    </row>
    <row r="80" spans="1:10" ht="21.6">
      <c r="A80" s="6">
        <v>75</v>
      </c>
      <c r="B80" s="166" t="s">
        <v>846</v>
      </c>
      <c r="C80" s="18" t="s">
        <v>847</v>
      </c>
      <c r="D80" s="18" t="s">
        <v>93</v>
      </c>
      <c r="E80" s="18" t="s">
        <v>831</v>
      </c>
      <c r="F80" s="18" t="s">
        <v>816</v>
      </c>
      <c r="G80" s="11">
        <v>0</v>
      </c>
      <c r="H80" s="11">
        <v>0</v>
      </c>
      <c r="I80" s="11">
        <v>0</v>
      </c>
      <c r="J80" s="10"/>
    </row>
    <row r="81" spans="1:10" ht="21.6">
      <c r="A81" s="6">
        <v>76</v>
      </c>
      <c r="B81" s="166"/>
      <c r="C81" s="18" t="s">
        <v>848</v>
      </c>
      <c r="D81" s="18" t="s">
        <v>95</v>
      </c>
      <c r="E81" s="18" t="s">
        <v>831</v>
      </c>
      <c r="F81" s="18" t="s">
        <v>816</v>
      </c>
      <c r="G81" s="11">
        <v>0</v>
      </c>
      <c r="H81" s="11">
        <v>0</v>
      </c>
      <c r="I81" s="11">
        <v>0</v>
      </c>
      <c r="J81" s="10"/>
    </row>
    <row r="82" spans="1:10" ht="21.6">
      <c r="A82" s="6">
        <v>77</v>
      </c>
      <c r="B82" s="166"/>
      <c r="C82" s="18" t="s">
        <v>849</v>
      </c>
      <c r="D82" s="18" t="s">
        <v>97</v>
      </c>
      <c r="E82" s="18" t="s">
        <v>831</v>
      </c>
      <c r="F82" s="18" t="s">
        <v>816</v>
      </c>
      <c r="G82" s="11">
        <v>1</v>
      </c>
      <c r="H82" s="11">
        <v>1</v>
      </c>
      <c r="I82" s="11">
        <v>1</v>
      </c>
      <c r="J82" s="10"/>
    </row>
    <row r="83" spans="1:10" ht="21.6">
      <c r="A83" s="6">
        <v>78</v>
      </c>
      <c r="B83" s="166"/>
      <c r="C83" s="18" t="s">
        <v>850</v>
      </c>
      <c r="D83" s="18" t="s">
        <v>851</v>
      </c>
      <c r="E83" s="18" t="s">
        <v>831</v>
      </c>
      <c r="F83" s="18" t="s">
        <v>816</v>
      </c>
      <c r="G83" s="11">
        <v>0</v>
      </c>
      <c r="H83" s="11">
        <v>0</v>
      </c>
      <c r="I83" s="11">
        <v>0</v>
      </c>
      <c r="J83" s="10"/>
    </row>
    <row r="84" spans="1:10" ht="21.6">
      <c r="A84" s="6">
        <v>79</v>
      </c>
      <c r="B84" s="166"/>
      <c r="C84" s="18" t="s">
        <v>852</v>
      </c>
      <c r="D84" s="18" t="s">
        <v>839</v>
      </c>
      <c r="E84" s="18" t="s">
        <v>831</v>
      </c>
      <c r="F84" s="18" t="s">
        <v>816</v>
      </c>
      <c r="G84" s="11">
        <v>2</v>
      </c>
      <c r="H84" s="11">
        <v>2</v>
      </c>
      <c r="I84" s="11">
        <v>2</v>
      </c>
      <c r="J84" s="10"/>
    </row>
    <row r="85" spans="1:10" ht="21.6">
      <c r="A85" s="6">
        <v>80</v>
      </c>
      <c r="B85" s="166"/>
      <c r="C85" s="18" t="s">
        <v>853</v>
      </c>
      <c r="D85" s="18" t="s">
        <v>841</v>
      </c>
      <c r="E85" s="18" t="s">
        <v>842</v>
      </c>
      <c r="F85" s="18" t="s">
        <v>816</v>
      </c>
      <c r="G85" s="11">
        <v>0</v>
      </c>
      <c r="H85" s="11">
        <v>0</v>
      </c>
      <c r="I85" s="11">
        <v>0</v>
      </c>
      <c r="J85" s="10"/>
    </row>
    <row r="86" spans="1:10" ht="21.6">
      <c r="A86" s="6">
        <v>81</v>
      </c>
      <c r="B86" s="166"/>
      <c r="C86" s="18" t="s">
        <v>854</v>
      </c>
      <c r="D86" s="18" t="s">
        <v>87</v>
      </c>
      <c r="E86" s="18" t="s">
        <v>831</v>
      </c>
      <c r="F86" s="18" t="s">
        <v>816</v>
      </c>
      <c r="G86" s="11">
        <v>0</v>
      </c>
      <c r="H86" s="11">
        <v>0</v>
      </c>
      <c r="I86" s="11">
        <v>0</v>
      </c>
      <c r="J86" s="10"/>
    </row>
    <row r="87" spans="1:10" ht="21.6">
      <c r="A87" s="6">
        <v>82</v>
      </c>
      <c r="B87" s="166"/>
      <c r="C87" s="18" t="s">
        <v>855</v>
      </c>
      <c r="D87" s="18" t="s">
        <v>89</v>
      </c>
      <c r="E87" s="18" t="s">
        <v>831</v>
      </c>
      <c r="F87" s="18" t="s">
        <v>816</v>
      </c>
      <c r="G87" s="11">
        <v>0</v>
      </c>
      <c r="H87" s="11">
        <v>0</v>
      </c>
      <c r="I87" s="11">
        <v>0</v>
      </c>
      <c r="J87" s="10"/>
    </row>
    <row r="88" spans="1:10" ht="21.6">
      <c r="A88" s="6">
        <v>83</v>
      </c>
      <c r="B88" s="166"/>
      <c r="C88" s="18" t="s">
        <v>856</v>
      </c>
      <c r="D88" s="18" t="s">
        <v>91</v>
      </c>
      <c r="E88" s="18" t="s">
        <v>831</v>
      </c>
      <c r="F88" s="18" t="s">
        <v>816</v>
      </c>
      <c r="G88" s="11">
        <v>1</v>
      </c>
      <c r="H88" s="11">
        <v>1</v>
      </c>
      <c r="I88" s="11">
        <v>1</v>
      </c>
      <c r="J88" s="10"/>
    </row>
    <row r="89" spans="1:10" s="49" customFormat="1">
      <c r="A89" s="6">
        <v>84</v>
      </c>
      <c r="B89" s="45" t="s">
        <v>752</v>
      </c>
      <c r="C89" s="46"/>
      <c r="D89" s="46"/>
      <c r="E89" s="46"/>
      <c r="F89" s="46"/>
      <c r="G89" s="47">
        <f>SUM(G71:G88)</f>
        <v>8</v>
      </c>
      <c r="H89" s="47">
        <f>SUM(H71:H88)</f>
        <v>8</v>
      </c>
      <c r="I89" s="47">
        <f>SUM(I71:I88)</f>
        <v>8</v>
      </c>
      <c r="J89" s="48"/>
    </row>
    <row r="90" spans="1:10" s="60" customFormat="1" ht="20.25" customHeight="1">
      <c r="A90" s="6">
        <v>85</v>
      </c>
      <c r="B90" s="56" t="s">
        <v>857</v>
      </c>
      <c r="C90" s="57"/>
      <c r="D90" s="57"/>
      <c r="E90" s="57"/>
      <c r="F90" s="57"/>
      <c r="G90" s="58">
        <f>G70+G89</f>
        <v>26</v>
      </c>
      <c r="H90" s="58">
        <f>H70+H89</f>
        <v>28</v>
      </c>
      <c r="I90" s="58">
        <f>I70+I89</f>
        <v>40</v>
      </c>
      <c r="J90" s="59"/>
    </row>
    <row r="91" spans="1:10" ht="13.5" customHeight="1">
      <c r="A91" s="6">
        <v>86</v>
      </c>
      <c r="B91" s="166" t="s">
        <v>858</v>
      </c>
      <c r="C91" s="10" t="s">
        <v>859</v>
      </c>
      <c r="D91" s="18" t="s">
        <v>860</v>
      </c>
      <c r="E91" s="18" t="s">
        <v>861</v>
      </c>
      <c r="F91" s="18" t="s">
        <v>750</v>
      </c>
      <c r="G91" s="22">
        <v>2</v>
      </c>
      <c r="H91" s="22">
        <v>2</v>
      </c>
      <c r="I91" s="22">
        <v>2</v>
      </c>
      <c r="J91" s="168"/>
    </row>
    <row r="92" spans="1:10">
      <c r="A92" s="6">
        <v>87</v>
      </c>
      <c r="B92" s="166"/>
      <c r="C92" s="18" t="s">
        <v>862</v>
      </c>
      <c r="D92" s="18" t="s">
        <v>863</v>
      </c>
      <c r="E92" s="18" t="s">
        <v>864</v>
      </c>
      <c r="F92" s="18" t="s">
        <v>750</v>
      </c>
      <c r="G92" s="22">
        <v>0</v>
      </c>
      <c r="H92" s="22">
        <v>0</v>
      </c>
      <c r="I92" s="22">
        <v>0</v>
      </c>
      <c r="J92" s="168"/>
    </row>
    <row r="93" spans="1:10" ht="21.6">
      <c r="A93" s="6">
        <v>88</v>
      </c>
      <c r="B93" s="166"/>
      <c r="C93" s="18" t="s">
        <v>865</v>
      </c>
      <c r="D93" s="18" t="s">
        <v>866</v>
      </c>
      <c r="E93" s="18" t="s">
        <v>861</v>
      </c>
      <c r="F93" s="18" t="s">
        <v>750</v>
      </c>
      <c r="G93" s="22">
        <v>0</v>
      </c>
      <c r="H93" s="170">
        <v>1</v>
      </c>
      <c r="I93" s="170">
        <v>1</v>
      </c>
      <c r="J93" s="168"/>
    </row>
    <row r="94" spans="1:10">
      <c r="A94" s="6">
        <v>89</v>
      </c>
      <c r="B94" s="166"/>
      <c r="C94" s="18" t="s">
        <v>867</v>
      </c>
      <c r="D94" s="18" t="s">
        <v>868</v>
      </c>
      <c r="E94" s="18" t="s">
        <v>864</v>
      </c>
      <c r="F94" s="18" t="s">
        <v>750</v>
      </c>
      <c r="G94" s="22">
        <v>0</v>
      </c>
      <c r="H94" s="170"/>
      <c r="I94" s="170"/>
      <c r="J94" s="168"/>
    </row>
    <row r="95" spans="1:10" s="63" customFormat="1" ht="21.6">
      <c r="A95" s="6">
        <v>90</v>
      </c>
      <c r="B95" s="166"/>
      <c r="C95" s="18" t="s">
        <v>869</v>
      </c>
      <c r="D95" s="18" t="s">
        <v>870</v>
      </c>
      <c r="E95" s="18" t="s">
        <v>871</v>
      </c>
      <c r="F95" s="18" t="s">
        <v>763</v>
      </c>
      <c r="G95" s="22">
        <v>0</v>
      </c>
      <c r="H95" s="170"/>
      <c r="I95" s="170"/>
      <c r="J95" s="168"/>
    </row>
    <row r="96" spans="1:10">
      <c r="A96" s="6">
        <v>91</v>
      </c>
      <c r="B96" s="166"/>
      <c r="C96" s="18" t="s">
        <v>872</v>
      </c>
      <c r="D96" s="18" t="s">
        <v>868</v>
      </c>
      <c r="E96" s="18" t="s">
        <v>864</v>
      </c>
      <c r="F96" s="18" t="s">
        <v>750</v>
      </c>
      <c r="G96" s="11">
        <v>0</v>
      </c>
      <c r="H96" s="11">
        <v>0</v>
      </c>
      <c r="I96" s="11">
        <v>0</v>
      </c>
      <c r="J96" s="168"/>
    </row>
    <row r="97" spans="1:10">
      <c r="A97" s="6">
        <v>92</v>
      </c>
      <c r="B97" s="166"/>
      <c r="C97" s="18" t="s">
        <v>873</v>
      </c>
      <c r="D97" s="18" t="s">
        <v>874</v>
      </c>
      <c r="E97" s="18" t="s">
        <v>875</v>
      </c>
      <c r="F97" s="18" t="s">
        <v>763</v>
      </c>
      <c r="G97" s="11">
        <v>0</v>
      </c>
      <c r="H97" s="11">
        <v>0</v>
      </c>
      <c r="I97" s="11">
        <v>0</v>
      </c>
      <c r="J97" s="168"/>
    </row>
    <row r="98" spans="1:10">
      <c r="A98" s="6">
        <v>93</v>
      </c>
      <c r="B98" s="166"/>
      <c r="C98" s="18" t="s">
        <v>876</v>
      </c>
      <c r="D98" s="18" t="s">
        <v>874</v>
      </c>
      <c r="E98" s="18" t="s">
        <v>875</v>
      </c>
      <c r="F98" s="18" t="s">
        <v>763</v>
      </c>
      <c r="G98" s="11">
        <v>0</v>
      </c>
      <c r="H98" s="11">
        <v>0</v>
      </c>
      <c r="I98" s="11">
        <v>0</v>
      </c>
      <c r="J98" s="18"/>
    </row>
    <row r="99" spans="1:10" s="49" customFormat="1">
      <c r="A99" s="6">
        <v>94</v>
      </c>
      <c r="B99" s="45" t="s">
        <v>790</v>
      </c>
      <c r="C99" s="46"/>
      <c r="D99" s="46"/>
      <c r="E99" s="46"/>
      <c r="F99" s="46"/>
      <c r="G99" s="47">
        <f>SUM(G91:G98)</f>
        <v>2</v>
      </c>
      <c r="H99" s="47">
        <f t="shared" ref="H99:I99" si="4">SUM(H91:H98)</f>
        <v>3</v>
      </c>
      <c r="I99" s="47">
        <f t="shared" si="4"/>
        <v>3</v>
      </c>
      <c r="J99" s="48"/>
    </row>
    <row r="100" spans="1:10" ht="24" customHeight="1">
      <c r="A100" s="6">
        <v>95</v>
      </c>
      <c r="B100" s="176" t="s">
        <v>877</v>
      </c>
      <c r="C100" s="11" t="s">
        <v>878</v>
      </c>
      <c r="D100" s="18" t="s">
        <v>879</v>
      </c>
      <c r="E100" s="18" t="s">
        <v>831</v>
      </c>
      <c r="F100" s="18" t="s">
        <v>763</v>
      </c>
      <c r="G100" s="22">
        <v>1</v>
      </c>
      <c r="H100" s="22">
        <v>1</v>
      </c>
      <c r="I100" s="22">
        <v>1</v>
      </c>
      <c r="J100" s="168"/>
    </row>
    <row r="101" spans="1:10">
      <c r="A101" s="6">
        <v>96</v>
      </c>
      <c r="B101" s="177"/>
      <c r="C101" s="11" t="s">
        <v>880</v>
      </c>
      <c r="D101" s="18" t="s">
        <v>881</v>
      </c>
      <c r="E101" s="18" t="s">
        <v>875</v>
      </c>
      <c r="F101" s="18" t="s">
        <v>763</v>
      </c>
      <c r="G101" s="22">
        <v>0</v>
      </c>
      <c r="H101" s="22">
        <v>0</v>
      </c>
      <c r="I101" s="22">
        <v>0</v>
      </c>
      <c r="J101" s="168"/>
    </row>
    <row r="102" spans="1:10" ht="21.6">
      <c r="A102" s="6">
        <v>97</v>
      </c>
      <c r="B102" s="177"/>
      <c r="C102" s="11" t="s">
        <v>882</v>
      </c>
      <c r="D102" s="18" t="s">
        <v>883</v>
      </c>
      <c r="E102" s="18" t="s">
        <v>831</v>
      </c>
      <c r="F102" s="18" t="s">
        <v>763</v>
      </c>
      <c r="G102" s="170">
        <v>1</v>
      </c>
      <c r="H102" s="22">
        <v>1</v>
      </c>
      <c r="I102" s="22">
        <v>1</v>
      </c>
      <c r="J102" s="168"/>
    </row>
    <row r="103" spans="1:10">
      <c r="A103" s="6">
        <v>98</v>
      </c>
      <c r="B103" s="177"/>
      <c r="C103" s="11" t="s">
        <v>884</v>
      </c>
      <c r="D103" s="18" t="s">
        <v>885</v>
      </c>
      <c r="E103" s="18" t="s">
        <v>875</v>
      </c>
      <c r="F103" s="18" t="s">
        <v>763</v>
      </c>
      <c r="G103" s="170"/>
      <c r="H103" s="22">
        <v>0</v>
      </c>
      <c r="I103" s="22">
        <v>0</v>
      </c>
      <c r="J103" s="168"/>
    </row>
    <row r="104" spans="1:10" ht="21.6">
      <c r="A104" s="6">
        <v>99</v>
      </c>
      <c r="B104" s="177"/>
      <c r="C104" s="11" t="s">
        <v>886</v>
      </c>
      <c r="D104" s="18" t="s">
        <v>887</v>
      </c>
      <c r="E104" s="18" t="s">
        <v>831</v>
      </c>
      <c r="F104" s="18" t="s">
        <v>763</v>
      </c>
      <c r="G104" s="170"/>
      <c r="H104" s="22">
        <v>1</v>
      </c>
      <c r="I104" s="22">
        <v>1</v>
      </c>
      <c r="J104" s="168"/>
    </row>
    <row r="105" spans="1:10">
      <c r="A105" s="6">
        <v>100</v>
      </c>
      <c r="B105" s="177"/>
      <c r="C105" s="11" t="s">
        <v>888</v>
      </c>
      <c r="D105" s="18" t="s">
        <v>885</v>
      </c>
      <c r="E105" s="18" t="s">
        <v>875</v>
      </c>
      <c r="F105" s="18" t="s">
        <v>763</v>
      </c>
      <c r="G105" s="22">
        <v>0</v>
      </c>
      <c r="H105" s="22">
        <v>0</v>
      </c>
      <c r="I105" s="22">
        <v>0</v>
      </c>
      <c r="J105" s="168"/>
    </row>
    <row r="106" spans="1:10">
      <c r="A106" s="6">
        <v>101</v>
      </c>
      <c r="B106" s="177"/>
      <c r="C106" s="11" t="s">
        <v>889</v>
      </c>
      <c r="D106" s="18" t="s">
        <v>885</v>
      </c>
      <c r="E106" s="18" t="s">
        <v>875</v>
      </c>
      <c r="F106" s="18" t="s">
        <v>763</v>
      </c>
      <c r="G106" s="22">
        <v>0</v>
      </c>
      <c r="H106" s="22">
        <v>0</v>
      </c>
      <c r="I106" s="22">
        <v>0</v>
      </c>
      <c r="J106" s="168"/>
    </row>
    <row r="107" spans="1:10">
      <c r="A107" s="6">
        <v>102</v>
      </c>
      <c r="B107" s="178"/>
      <c r="C107" s="11" t="s">
        <v>890</v>
      </c>
      <c r="D107" s="18" t="s">
        <v>891</v>
      </c>
      <c r="E107" s="18" t="s">
        <v>875</v>
      </c>
      <c r="F107" s="18" t="s">
        <v>763</v>
      </c>
      <c r="G107" s="22">
        <v>0</v>
      </c>
      <c r="H107" s="22">
        <v>0</v>
      </c>
      <c r="I107" s="22">
        <v>0</v>
      </c>
      <c r="J107" s="168"/>
    </row>
    <row r="108" spans="1:10" s="49" customFormat="1">
      <c r="A108" s="6">
        <v>103</v>
      </c>
      <c r="B108" s="45" t="s">
        <v>790</v>
      </c>
      <c r="C108" s="46"/>
      <c r="D108" s="46"/>
      <c r="E108" s="46"/>
      <c r="F108" s="46"/>
      <c r="G108" s="47">
        <f>SUM(G100:G107)</f>
        <v>2</v>
      </c>
      <c r="H108" s="47">
        <f>SUM(H100:H107)</f>
        <v>3</v>
      </c>
      <c r="I108" s="47">
        <f>SUM(I100:I107)</f>
        <v>3</v>
      </c>
      <c r="J108" s="48"/>
    </row>
    <row r="109" spans="1:10" ht="13.5" customHeight="1">
      <c r="A109" s="6">
        <v>104</v>
      </c>
      <c r="B109" s="166" t="s">
        <v>892</v>
      </c>
      <c r="C109" s="22" t="s">
        <v>893</v>
      </c>
      <c r="D109" s="18" t="s">
        <v>894</v>
      </c>
      <c r="E109" s="18" t="s">
        <v>831</v>
      </c>
      <c r="F109" s="18" t="s">
        <v>895</v>
      </c>
      <c r="G109" s="22">
        <v>2</v>
      </c>
      <c r="H109" s="22">
        <v>2</v>
      </c>
      <c r="I109" s="22">
        <v>2</v>
      </c>
      <c r="J109" s="168"/>
    </row>
    <row r="110" spans="1:10" ht="30" customHeight="1">
      <c r="A110" s="6">
        <v>105</v>
      </c>
      <c r="B110" s="166"/>
      <c r="C110" s="22" t="s">
        <v>896</v>
      </c>
      <c r="D110" s="18" t="s">
        <v>897</v>
      </c>
      <c r="E110" s="18" t="s">
        <v>831</v>
      </c>
      <c r="F110" s="18" t="s">
        <v>895</v>
      </c>
      <c r="G110" s="22">
        <v>2</v>
      </c>
      <c r="H110" s="22">
        <v>2</v>
      </c>
      <c r="I110" s="22">
        <v>2</v>
      </c>
      <c r="J110" s="168"/>
    </row>
    <row r="111" spans="1:10" ht="21.6">
      <c r="A111" s="6">
        <v>106</v>
      </c>
      <c r="B111" s="166"/>
      <c r="C111" s="22" t="s">
        <v>898</v>
      </c>
      <c r="D111" s="18" t="s">
        <v>899</v>
      </c>
      <c r="E111" s="18" t="s">
        <v>831</v>
      </c>
      <c r="F111" s="18" t="s">
        <v>895</v>
      </c>
      <c r="G111" s="22">
        <v>0</v>
      </c>
      <c r="H111" s="22">
        <v>0</v>
      </c>
      <c r="I111" s="22">
        <v>0</v>
      </c>
      <c r="J111" s="168"/>
    </row>
    <row r="112" spans="1:10" ht="21.6">
      <c r="A112" s="6">
        <v>107</v>
      </c>
      <c r="B112" s="166"/>
      <c r="C112" s="22" t="s">
        <v>900</v>
      </c>
      <c r="D112" s="18" t="s">
        <v>901</v>
      </c>
      <c r="E112" s="18" t="s">
        <v>831</v>
      </c>
      <c r="F112" s="18" t="s">
        <v>895</v>
      </c>
      <c r="G112" s="11">
        <v>2</v>
      </c>
      <c r="H112" s="11">
        <v>2</v>
      </c>
      <c r="I112" s="11">
        <v>2</v>
      </c>
      <c r="J112" s="168"/>
    </row>
    <row r="113" spans="1:10">
      <c r="A113" s="6">
        <v>108</v>
      </c>
      <c r="B113" s="166"/>
      <c r="C113" s="22" t="s">
        <v>902</v>
      </c>
      <c r="D113" s="18" t="s">
        <v>127</v>
      </c>
      <c r="E113" s="18" t="s">
        <v>875</v>
      </c>
      <c r="F113" s="18" t="s">
        <v>895</v>
      </c>
      <c r="G113" s="11">
        <v>0</v>
      </c>
      <c r="H113" s="11">
        <v>0</v>
      </c>
      <c r="I113" s="11">
        <v>0</v>
      </c>
      <c r="J113" s="168"/>
    </row>
    <row r="114" spans="1:10">
      <c r="A114" s="6">
        <v>109</v>
      </c>
      <c r="B114" s="166"/>
      <c r="C114" s="22" t="s">
        <v>903</v>
      </c>
      <c r="D114" s="18" t="s">
        <v>904</v>
      </c>
      <c r="E114" s="18" t="s">
        <v>875</v>
      </c>
      <c r="F114" s="18" t="s">
        <v>895</v>
      </c>
      <c r="G114" s="11">
        <v>0</v>
      </c>
      <c r="H114" s="11">
        <v>0</v>
      </c>
      <c r="I114" s="11">
        <v>0</v>
      </c>
      <c r="J114" s="168"/>
    </row>
    <row r="115" spans="1:10">
      <c r="A115" s="6">
        <v>110</v>
      </c>
      <c r="B115" s="166"/>
      <c r="C115" s="22" t="s">
        <v>905</v>
      </c>
      <c r="D115" s="18" t="s">
        <v>904</v>
      </c>
      <c r="E115" s="18" t="s">
        <v>875</v>
      </c>
      <c r="F115" s="18" t="s">
        <v>895</v>
      </c>
      <c r="G115" s="11">
        <v>0</v>
      </c>
      <c r="H115" s="11">
        <v>0</v>
      </c>
      <c r="I115" s="11">
        <v>0</v>
      </c>
      <c r="J115" s="168"/>
    </row>
    <row r="116" spans="1:10">
      <c r="A116" s="6">
        <v>111</v>
      </c>
      <c r="B116" s="166"/>
      <c r="C116" s="22" t="s">
        <v>906</v>
      </c>
      <c r="D116" s="18" t="s">
        <v>904</v>
      </c>
      <c r="E116" s="18" t="s">
        <v>875</v>
      </c>
      <c r="F116" s="18" t="s">
        <v>895</v>
      </c>
      <c r="G116" s="11">
        <v>0</v>
      </c>
      <c r="H116" s="11">
        <v>0</v>
      </c>
      <c r="I116" s="11">
        <v>0</v>
      </c>
      <c r="J116" s="168"/>
    </row>
    <row r="117" spans="1:10">
      <c r="A117" s="6">
        <v>112</v>
      </c>
      <c r="B117" s="166"/>
      <c r="C117" s="22" t="s">
        <v>907</v>
      </c>
      <c r="D117" s="18" t="s">
        <v>132</v>
      </c>
      <c r="E117" s="18" t="s">
        <v>875</v>
      </c>
      <c r="F117" s="18" t="s">
        <v>895</v>
      </c>
      <c r="G117" s="11">
        <v>0</v>
      </c>
      <c r="H117" s="11">
        <v>0</v>
      </c>
      <c r="I117" s="11">
        <v>0</v>
      </c>
      <c r="J117" s="168"/>
    </row>
    <row r="118" spans="1:10" ht="21.6">
      <c r="A118" s="6">
        <v>113</v>
      </c>
      <c r="B118" s="166"/>
      <c r="C118" s="22" t="s">
        <v>908</v>
      </c>
      <c r="D118" s="18" t="s">
        <v>134</v>
      </c>
      <c r="E118" s="18" t="s">
        <v>831</v>
      </c>
      <c r="F118" s="18" t="s">
        <v>895</v>
      </c>
      <c r="G118" s="171">
        <v>1</v>
      </c>
      <c r="H118" s="169">
        <v>2</v>
      </c>
      <c r="I118" s="169">
        <v>2</v>
      </c>
      <c r="J118" s="168"/>
    </row>
    <row r="119" spans="1:10">
      <c r="A119" s="6">
        <v>114</v>
      </c>
      <c r="B119" s="166"/>
      <c r="C119" s="22" t="s">
        <v>909</v>
      </c>
      <c r="D119" s="18" t="s">
        <v>904</v>
      </c>
      <c r="E119" s="18" t="s">
        <v>875</v>
      </c>
      <c r="F119" s="18" t="s">
        <v>895</v>
      </c>
      <c r="G119" s="172"/>
      <c r="H119" s="169"/>
      <c r="I119" s="169"/>
      <c r="J119" s="168"/>
    </row>
    <row r="120" spans="1:10" ht="21.6">
      <c r="A120" s="6">
        <v>115</v>
      </c>
      <c r="B120" s="177" t="s">
        <v>910</v>
      </c>
      <c r="C120" s="22" t="s">
        <v>911</v>
      </c>
      <c r="D120" s="18" t="s">
        <v>137</v>
      </c>
      <c r="E120" s="18" t="s">
        <v>831</v>
      </c>
      <c r="F120" s="18" t="s">
        <v>895</v>
      </c>
      <c r="G120" s="173"/>
      <c r="H120" s="169"/>
      <c r="I120" s="169"/>
      <c r="J120" s="168"/>
    </row>
    <row r="121" spans="1:10">
      <c r="A121" s="6">
        <v>116</v>
      </c>
      <c r="B121" s="177"/>
      <c r="C121" s="22" t="s">
        <v>912</v>
      </c>
      <c r="D121" s="18" t="s">
        <v>139</v>
      </c>
      <c r="E121" s="18" t="s">
        <v>875</v>
      </c>
      <c r="F121" s="18" t="s">
        <v>895</v>
      </c>
      <c r="G121" s="11">
        <v>0</v>
      </c>
      <c r="H121" s="11">
        <v>0</v>
      </c>
      <c r="I121" s="11">
        <v>0</v>
      </c>
      <c r="J121" s="168"/>
    </row>
    <row r="122" spans="1:10">
      <c r="A122" s="6">
        <v>117</v>
      </c>
      <c r="B122" s="177"/>
      <c r="C122" s="22" t="s">
        <v>913</v>
      </c>
      <c r="D122" s="18" t="s">
        <v>139</v>
      </c>
      <c r="E122" s="18" t="s">
        <v>875</v>
      </c>
      <c r="F122" s="18" t="s">
        <v>895</v>
      </c>
      <c r="G122" s="11">
        <v>0</v>
      </c>
      <c r="H122" s="11">
        <v>0</v>
      </c>
      <c r="I122" s="11">
        <v>0</v>
      </c>
      <c r="J122" s="168"/>
    </row>
    <row r="123" spans="1:10">
      <c r="A123" s="6">
        <v>118</v>
      </c>
      <c r="B123" s="177"/>
      <c r="C123" s="22" t="s">
        <v>914</v>
      </c>
      <c r="D123" s="18" t="s">
        <v>142</v>
      </c>
      <c r="E123" s="18" t="s">
        <v>875</v>
      </c>
      <c r="F123" s="18" t="s">
        <v>895</v>
      </c>
      <c r="G123" s="11">
        <v>0</v>
      </c>
      <c r="H123" s="11">
        <v>0</v>
      </c>
      <c r="I123" s="11">
        <v>0</v>
      </c>
      <c r="J123" s="168"/>
    </row>
    <row r="124" spans="1:10" ht="21.6">
      <c r="A124" s="6">
        <v>119</v>
      </c>
      <c r="B124" s="177"/>
      <c r="C124" s="22" t="s">
        <v>915</v>
      </c>
      <c r="D124" s="18" t="s">
        <v>144</v>
      </c>
      <c r="E124" s="18" t="s">
        <v>831</v>
      </c>
      <c r="F124" s="18" t="s">
        <v>895</v>
      </c>
      <c r="G124" s="11">
        <v>2</v>
      </c>
      <c r="H124" s="11">
        <v>2</v>
      </c>
      <c r="I124" s="11">
        <v>2</v>
      </c>
      <c r="J124" s="168"/>
    </row>
    <row r="125" spans="1:10" ht="21.6">
      <c r="A125" s="6">
        <v>120</v>
      </c>
      <c r="B125" s="177"/>
      <c r="C125" s="22" t="s">
        <v>916</v>
      </c>
      <c r="D125" s="18" t="s">
        <v>894</v>
      </c>
      <c r="E125" s="18" t="s">
        <v>831</v>
      </c>
      <c r="F125" s="18" t="s">
        <v>895</v>
      </c>
      <c r="G125" s="11">
        <v>2</v>
      </c>
      <c r="H125" s="11">
        <v>2</v>
      </c>
      <c r="I125" s="11">
        <v>2</v>
      </c>
      <c r="J125" s="168"/>
    </row>
    <row r="126" spans="1:10" ht="21.6">
      <c r="A126" s="6">
        <v>121</v>
      </c>
      <c r="B126" s="167" t="s">
        <v>917</v>
      </c>
      <c r="C126" s="22" t="s">
        <v>918</v>
      </c>
      <c r="D126" s="18" t="s">
        <v>919</v>
      </c>
      <c r="E126" s="18" t="s">
        <v>831</v>
      </c>
      <c r="F126" s="18" t="s">
        <v>895</v>
      </c>
      <c r="G126" s="170">
        <v>1</v>
      </c>
      <c r="H126" s="170">
        <v>1</v>
      </c>
      <c r="I126" s="170">
        <v>2</v>
      </c>
      <c r="J126" s="168"/>
    </row>
    <row r="127" spans="1:10" ht="27" customHeight="1">
      <c r="A127" s="6">
        <v>122</v>
      </c>
      <c r="B127" s="167"/>
      <c r="C127" s="22" t="s">
        <v>920</v>
      </c>
      <c r="D127" s="18" t="s">
        <v>921</v>
      </c>
      <c r="E127" s="18" t="s">
        <v>831</v>
      </c>
      <c r="F127" s="18" t="s">
        <v>895</v>
      </c>
      <c r="G127" s="170"/>
      <c r="H127" s="170"/>
      <c r="I127" s="170"/>
      <c r="J127" s="168"/>
    </row>
    <row r="128" spans="1:10" ht="21.6">
      <c r="A128" s="6">
        <v>123</v>
      </c>
      <c r="B128" s="167"/>
      <c r="C128" s="22" t="s">
        <v>922</v>
      </c>
      <c r="D128" s="18" t="s">
        <v>923</v>
      </c>
      <c r="E128" s="18" t="s">
        <v>924</v>
      </c>
      <c r="F128" s="18" t="s">
        <v>895</v>
      </c>
      <c r="G128" s="22">
        <v>1</v>
      </c>
      <c r="H128" s="22">
        <v>1</v>
      </c>
      <c r="I128" s="22">
        <v>1</v>
      </c>
      <c r="J128" s="168"/>
    </row>
    <row r="129" spans="1:10" s="49" customFormat="1">
      <c r="A129" s="6">
        <v>124</v>
      </c>
      <c r="B129" s="45" t="s">
        <v>790</v>
      </c>
      <c r="C129" s="46"/>
      <c r="D129" s="46"/>
      <c r="E129" s="46"/>
      <c r="F129" s="46"/>
      <c r="G129" s="47">
        <f>SUM(G109:G128)</f>
        <v>13</v>
      </c>
      <c r="H129" s="47">
        <f>SUM(H109:H128)</f>
        <v>14</v>
      </c>
      <c r="I129" s="47">
        <f>SUM(I109:I128)</f>
        <v>15</v>
      </c>
      <c r="J129" s="48"/>
    </row>
    <row r="130" spans="1:10" s="60" customFormat="1" ht="20.25" customHeight="1">
      <c r="A130" s="6">
        <v>125</v>
      </c>
      <c r="B130" s="56" t="s">
        <v>791</v>
      </c>
      <c r="C130" s="57"/>
      <c r="D130" s="57"/>
      <c r="E130" s="57"/>
      <c r="F130" s="57"/>
      <c r="G130" s="58">
        <f>G99+G108+G129</f>
        <v>17</v>
      </c>
      <c r="H130" s="58">
        <f>H99+H108+H129</f>
        <v>20</v>
      </c>
      <c r="I130" s="58">
        <f>I99+I108+I129</f>
        <v>21</v>
      </c>
      <c r="J130" s="59"/>
    </row>
    <row r="131" spans="1:10">
      <c r="A131" s="6">
        <v>126</v>
      </c>
      <c r="B131" s="166" t="s">
        <v>925</v>
      </c>
      <c r="C131" s="22" t="s">
        <v>926</v>
      </c>
      <c r="D131" s="18" t="s">
        <v>927</v>
      </c>
      <c r="E131" s="18" t="s">
        <v>928</v>
      </c>
      <c r="F131" s="18" t="s">
        <v>929</v>
      </c>
      <c r="G131" s="22">
        <v>1</v>
      </c>
      <c r="H131" s="174">
        <v>3</v>
      </c>
      <c r="I131" s="22">
        <v>2</v>
      </c>
      <c r="J131" s="10"/>
    </row>
    <row r="132" spans="1:10">
      <c r="A132" s="6">
        <v>127</v>
      </c>
      <c r="B132" s="166"/>
      <c r="C132" s="22" t="s">
        <v>930</v>
      </c>
      <c r="D132" s="18" t="s">
        <v>931</v>
      </c>
      <c r="E132" s="18" t="s">
        <v>928</v>
      </c>
      <c r="F132" s="18" t="s">
        <v>929</v>
      </c>
      <c r="G132" s="22">
        <v>1</v>
      </c>
      <c r="H132" s="175"/>
      <c r="I132" s="22">
        <v>2</v>
      </c>
      <c r="J132" s="10"/>
    </row>
    <row r="133" spans="1:10">
      <c r="A133" s="6">
        <v>128</v>
      </c>
      <c r="B133" s="166"/>
      <c r="C133" s="22" t="s">
        <v>932</v>
      </c>
      <c r="D133" s="18" t="s">
        <v>933</v>
      </c>
      <c r="E133" s="18" t="s">
        <v>928</v>
      </c>
      <c r="F133" s="18" t="s">
        <v>929</v>
      </c>
      <c r="G133" s="22">
        <v>1</v>
      </c>
      <c r="H133" s="22">
        <v>1</v>
      </c>
      <c r="I133" s="22">
        <v>1</v>
      </c>
      <c r="J133" s="10"/>
    </row>
    <row r="134" spans="1:10">
      <c r="A134" s="6">
        <v>129</v>
      </c>
      <c r="B134" s="166"/>
      <c r="C134" s="22" t="s">
        <v>934</v>
      </c>
      <c r="D134" s="18" t="s">
        <v>935</v>
      </c>
      <c r="E134" s="18" t="s">
        <v>928</v>
      </c>
      <c r="F134" s="18" t="s">
        <v>929</v>
      </c>
      <c r="G134" s="170">
        <v>1</v>
      </c>
      <c r="H134" s="174">
        <v>1</v>
      </c>
      <c r="I134" s="170">
        <v>2</v>
      </c>
      <c r="J134" s="10"/>
    </row>
    <row r="135" spans="1:10">
      <c r="A135" s="6">
        <v>130</v>
      </c>
      <c r="B135" s="166"/>
      <c r="C135" s="22" t="s">
        <v>936</v>
      </c>
      <c r="D135" s="18" t="s">
        <v>937</v>
      </c>
      <c r="E135" s="18" t="s">
        <v>928</v>
      </c>
      <c r="F135" s="18" t="s">
        <v>929</v>
      </c>
      <c r="G135" s="170"/>
      <c r="H135" s="175"/>
      <c r="I135" s="170"/>
      <c r="J135" s="10"/>
    </row>
    <row r="136" spans="1:10" ht="21.6">
      <c r="A136" s="6">
        <v>131</v>
      </c>
      <c r="B136" s="166"/>
      <c r="C136" s="22" t="s">
        <v>938</v>
      </c>
      <c r="D136" s="18" t="s">
        <v>939</v>
      </c>
      <c r="E136" s="18" t="s">
        <v>924</v>
      </c>
      <c r="F136" s="18" t="s">
        <v>929</v>
      </c>
      <c r="G136" s="22">
        <v>1</v>
      </c>
      <c r="H136" s="22">
        <v>2</v>
      </c>
      <c r="I136" s="22">
        <v>2</v>
      </c>
      <c r="J136" s="10"/>
    </row>
    <row r="137" spans="1:10">
      <c r="A137" s="6">
        <v>132</v>
      </c>
      <c r="B137" s="166"/>
      <c r="C137" s="22" t="s">
        <v>940</v>
      </c>
      <c r="D137" s="18" t="s">
        <v>941</v>
      </c>
      <c r="E137" s="18" t="s">
        <v>928</v>
      </c>
      <c r="F137" s="18" t="s">
        <v>929</v>
      </c>
      <c r="G137" s="170"/>
      <c r="H137" s="22"/>
      <c r="I137" s="170"/>
      <c r="J137" s="10"/>
    </row>
    <row r="138" spans="1:10">
      <c r="A138" s="6">
        <v>133</v>
      </c>
      <c r="B138" s="166"/>
      <c r="C138" s="22" t="s">
        <v>942</v>
      </c>
      <c r="D138" s="18" t="s">
        <v>943</v>
      </c>
      <c r="E138" s="18" t="s">
        <v>928</v>
      </c>
      <c r="F138" s="18" t="s">
        <v>929</v>
      </c>
      <c r="G138" s="170"/>
      <c r="H138" s="22"/>
      <c r="I138" s="170"/>
      <c r="J138" s="10"/>
    </row>
    <row r="139" spans="1:10">
      <c r="A139" s="6">
        <v>134</v>
      </c>
      <c r="B139" s="166"/>
      <c r="C139" s="22" t="s">
        <v>944</v>
      </c>
      <c r="D139" s="18" t="s">
        <v>945</v>
      </c>
      <c r="E139" s="18" t="s">
        <v>928</v>
      </c>
      <c r="F139" s="18" t="s">
        <v>929</v>
      </c>
      <c r="G139" s="170">
        <v>2</v>
      </c>
      <c r="H139" s="174">
        <v>2</v>
      </c>
      <c r="I139" s="170">
        <v>3</v>
      </c>
      <c r="J139" s="10"/>
    </row>
    <row r="140" spans="1:10" ht="21.6">
      <c r="A140" s="6">
        <v>135</v>
      </c>
      <c r="B140" s="166"/>
      <c r="C140" s="22" t="s">
        <v>946</v>
      </c>
      <c r="D140" s="18" t="s">
        <v>947</v>
      </c>
      <c r="E140" s="18" t="s">
        <v>948</v>
      </c>
      <c r="F140" s="18" t="s">
        <v>929</v>
      </c>
      <c r="G140" s="170"/>
      <c r="H140" s="175"/>
      <c r="I140" s="170"/>
      <c r="J140" s="10"/>
    </row>
    <row r="141" spans="1:10" s="49" customFormat="1">
      <c r="A141" s="6">
        <v>136</v>
      </c>
      <c r="B141" s="45" t="s">
        <v>790</v>
      </c>
      <c r="C141" s="46"/>
      <c r="D141" s="46"/>
      <c r="E141" s="46"/>
      <c r="F141" s="46"/>
      <c r="G141" s="47">
        <f>SUM(G131:G140)</f>
        <v>7</v>
      </c>
      <c r="H141" s="47">
        <f t="shared" ref="H141:I141" si="5">SUM(H131:H140)</f>
        <v>9</v>
      </c>
      <c r="I141" s="47">
        <f t="shared" si="5"/>
        <v>12</v>
      </c>
      <c r="J141" s="48"/>
    </row>
    <row r="142" spans="1:10" ht="23.25" customHeight="1">
      <c r="A142" s="6">
        <v>137</v>
      </c>
      <c r="B142" s="166" t="s">
        <v>949</v>
      </c>
      <c r="C142" s="22" t="s">
        <v>950</v>
      </c>
      <c r="D142" s="18" t="s">
        <v>951</v>
      </c>
      <c r="E142" s="18" t="s">
        <v>928</v>
      </c>
      <c r="F142" s="18" t="s">
        <v>929</v>
      </c>
      <c r="G142" s="170">
        <v>3</v>
      </c>
      <c r="H142" s="174">
        <v>3</v>
      </c>
      <c r="I142" s="22">
        <v>2</v>
      </c>
      <c r="J142" s="10"/>
    </row>
    <row r="143" spans="1:10" ht="23.25" customHeight="1">
      <c r="A143" s="6">
        <v>138</v>
      </c>
      <c r="B143" s="166"/>
      <c r="C143" s="22" t="s">
        <v>952</v>
      </c>
      <c r="D143" s="18" t="s">
        <v>953</v>
      </c>
      <c r="E143" s="18" t="s">
        <v>928</v>
      </c>
      <c r="F143" s="18" t="s">
        <v>929</v>
      </c>
      <c r="G143" s="170"/>
      <c r="H143" s="175"/>
      <c r="I143" s="22">
        <v>2</v>
      </c>
      <c r="J143" s="10"/>
    </row>
    <row r="144" spans="1:10" ht="21.6">
      <c r="A144" s="6">
        <v>139</v>
      </c>
      <c r="B144" s="166"/>
      <c r="C144" s="22" t="s">
        <v>954</v>
      </c>
      <c r="D144" s="18" t="s">
        <v>955</v>
      </c>
      <c r="E144" s="18" t="s">
        <v>924</v>
      </c>
      <c r="F144" s="18" t="s">
        <v>929</v>
      </c>
      <c r="G144" s="22">
        <v>2</v>
      </c>
      <c r="H144" s="22">
        <v>2</v>
      </c>
      <c r="I144" s="22">
        <v>2</v>
      </c>
      <c r="J144" s="10"/>
    </row>
    <row r="145" spans="1:10">
      <c r="A145" s="6">
        <v>140</v>
      </c>
      <c r="B145" s="166"/>
      <c r="C145" s="22" t="s">
        <v>956</v>
      </c>
      <c r="D145" s="18" t="s">
        <v>957</v>
      </c>
      <c r="E145" s="18" t="s">
        <v>928</v>
      </c>
      <c r="F145" s="18" t="s">
        <v>929</v>
      </c>
      <c r="G145" s="22"/>
      <c r="H145" s="22"/>
      <c r="I145" s="22"/>
      <c r="J145" s="10"/>
    </row>
    <row r="146" spans="1:10" ht="21.6">
      <c r="A146" s="6">
        <v>141</v>
      </c>
      <c r="B146" s="166"/>
      <c r="C146" s="22" t="s">
        <v>958</v>
      </c>
      <c r="D146" s="18" t="s">
        <v>959</v>
      </c>
      <c r="E146" s="18" t="s">
        <v>924</v>
      </c>
      <c r="F146" s="18" t="s">
        <v>929</v>
      </c>
      <c r="G146" s="22">
        <v>2</v>
      </c>
      <c r="H146" s="22">
        <v>2</v>
      </c>
      <c r="I146" s="22">
        <v>2</v>
      </c>
      <c r="J146" s="10"/>
    </row>
    <row r="147" spans="1:10" s="49" customFormat="1">
      <c r="A147" s="6">
        <v>142</v>
      </c>
      <c r="B147" s="45" t="s">
        <v>790</v>
      </c>
      <c r="C147" s="46"/>
      <c r="D147" s="46"/>
      <c r="E147" s="46"/>
      <c r="F147" s="46"/>
      <c r="G147" s="47">
        <f>SUM(G142:G146)</f>
        <v>7</v>
      </c>
      <c r="H147" s="47">
        <f t="shared" ref="H147:I147" si="6">SUM(H142:H146)</f>
        <v>7</v>
      </c>
      <c r="I147" s="47">
        <f t="shared" si="6"/>
        <v>8</v>
      </c>
      <c r="J147" s="48"/>
    </row>
    <row r="148" spans="1:10" ht="21.6">
      <c r="A148" s="6">
        <v>143</v>
      </c>
      <c r="B148" s="166" t="s">
        <v>960</v>
      </c>
      <c r="C148" s="22" t="s">
        <v>168</v>
      </c>
      <c r="D148" s="18" t="s">
        <v>169</v>
      </c>
      <c r="E148" s="18" t="s">
        <v>928</v>
      </c>
      <c r="F148" s="18" t="s">
        <v>929</v>
      </c>
      <c r="G148" s="170">
        <v>3</v>
      </c>
      <c r="H148" s="22">
        <v>2</v>
      </c>
      <c r="I148" s="22">
        <v>2</v>
      </c>
      <c r="J148" s="10"/>
    </row>
    <row r="149" spans="1:10" ht="21.6">
      <c r="A149" s="6">
        <v>144</v>
      </c>
      <c r="B149" s="166"/>
      <c r="C149" s="22" t="s">
        <v>170</v>
      </c>
      <c r="D149" s="18" t="s">
        <v>171</v>
      </c>
      <c r="E149" s="18" t="s">
        <v>928</v>
      </c>
      <c r="F149" s="18" t="s">
        <v>929</v>
      </c>
      <c r="G149" s="170"/>
      <c r="H149" s="64">
        <v>2</v>
      </c>
      <c r="I149" s="22">
        <v>2</v>
      </c>
      <c r="J149" s="10"/>
    </row>
    <row r="150" spans="1:10">
      <c r="A150" s="6">
        <v>145</v>
      </c>
      <c r="B150" s="166"/>
      <c r="C150" s="22" t="s">
        <v>172</v>
      </c>
      <c r="D150" s="18" t="s">
        <v>173</v>
      </c>
      <c r="E150" s="18" t="s">
        <v>928</v>
      </c>
      <c r="F150" s="18" t="s">
        <v>929</v>
      </c>
      <c r="G150" s="22">
        <v>1</v>
      </c>
      <c r="H150" s="22">
        <v>1</v>
      </c>
      <c r="I150" s="22">
        <v>2</v>
      </c>
      <c r="J150" s="10"/>
    </row>
    <row r="151" spans="1:10" ht="21.6">
      <c r="A151" s="6">
        <v>146</v>
      </c>
      <c r="B151" s="166"/>
      <c r="C151" s="22" t="s">
        <v>174</v>
      </c>
      <c r="D151" s="18" t="s">
        <v>175</v>
      </c>
      <c r="E151" s="18" t="s">
        <v>924</v>
      </c>
      <c r="F151" s="18" t="s">
        <v>929</v>
      </c>
      <c r="G151" s="169">
        <v>2</v>
      </c>
      <c r="H151" s="171">
        <v>2</v>
      </c>
      <c r="I151" s="11">
        <v>1</v>
      </c>
      <c r="J151" s="10"/>
    </row>
    <row r="152" spans="1:10">
      <c r="A152" s="6">
        <v>147</v>
      </c>
      <c r="B152" s="166"/>
      <c r="C152" s="22" t="s">
        <v>961</v>
      </c>
      <c r="D152" s="18" t="s">
        <v>962</v>
      </c>
      <c r="E152" s="18" t="s">
        <v>928</v>
      </c>
      <c r="F152" s="18" t="s">
        <v>929</v>
      </c>
      <c r="G152" s="169"/>
      <c r="H152" s="172"/>
      <c r="I152" s="11"/>
      <c r="J152" s="10"/>
    </row>
    <row r="153" spans="1:10">
      <c r="A153" s="6">
        <v>148</v>
      </c>
      <c r="B153" s="166"/>
      <c r="C153" s="22" t="s">
        <v>963</v>
      </c>
      <c r="D153" s="18" t="s">
        <v>964</v>
      </c>
      <c r="E153" s="18" t="s">
        <v>928</v>
      </c>
      <c r="F153" s="18" t="s">
        <v>929</v>
      </c>
      <c r="G153" s="169"/>
      <c r="H153" s="172"/>
      <c r="I153" s="11"/>
      <c r="J153" s="10"/>
    </row>
    <row r="154" spans="1:10">
      <c r="A154" s="6">
        <v>149</v>
      </c>
      <c r="B154" s="166"/>
      <c r="C154" s="22" t="s">
        <v>965</v>
      </c>
      <c r="D154" s="18" t="s">
        <v>966</v>
      </c>
      <c r="E154" s="18" t="s">
        <v>928</v>
      </c>
      <c r="F154" s="18" t="s">
        <v>967</v>
      </c>
      <c r="G154" s="169"/>
      <c r="H154" s="173"/>
      <c r="I154" s="11">
        <v>2</v>
      </c>
      <c r="J154" s="10"/>
    </row>
    <row r="155" spans="1:10" s="49" customFormat="1">
      <c r="A155" s="6">
        <v>150</v>
      </c>
      <c r="B155" s="45" t="s">
        <v>752</v>
      </c>
      <c r="C155" s="46"/>
      <c r="D155" s="46"/>
      <c r="E155" s="46"/>
      <c r="F155" s="46"/>
      <c r="G155" s="47">
        <f>SUM(G148:G154)</f>
        <v>6</v>
      </c>
      <c r="H155" s="47">
        <f t="shared" ref="H155:I155" si="7">SUM(H148:H154)</f>
        <v>7</v>
      </c>
      <c r="I155" s="47">
        <f t="shared" si="7"/>
        <v>9</v>
      </c>
      <c r="J155" s="48"/>
    </row>
    <row r="156" spans="1:10" ht="21.6">
      <c r="A156" s="6">
        <v>151</v>
      </c>
      <c r="B156" s="166" t="s">
        <v>968</v>
      </c>
      <c r="C156" s="22" t="s">
        <v>969</v>
      </c>
      <c r="D156" s="18" t="s">
        <v>181</v>
      </c>
      <c r="E156" s="18" t="s">
        <v>928</v>
      </c>
      <c r="F156" s="18" t="s">
        <v>967</v>
      </c>
      <c r="G156" s="170">
        <v>3</v>
      </c>
      <c r="H156" s="22">
        <v>2</v>
      </c>
      <c r="I156" s="22">
        <v>2</v>
      </c>
      <c r="J156" s="10"/>
    </row>
    <row r="157" spans="1:10" ht="21.6">
      <c r="A157" s="6">
        <v>152</v>
      </c>
      <c r="B157" s="166"/>
      <c r="C157" s="22" t="s">
        <v>970</v>
      </c>
      <c r="D157" s="18" t="s">
        <v>183</v>
      </c>
      <c r="E157" s="18" t="s">
        <v>928</v>
      </c>
      <c r="F157" s="18" t="s">
        <v>967</v>
      </c>
      <c r="G157" s="170"/>
      <c r="H157" s="22">
        <v>2</v>
      </c>
      <c r="I157" s="22">
        <v>2</v>
      </c>
      <c r="J157" s="10"/>
    </row>
    <row r="158" spans="1:10">
      <c r="A158" s="6">
        <v>153</v>
      </c>
      <c r="B158" s="166"/>
      <c r="C158" s="22" t="s">
        <v>971</v>
      </c>
      <c r="D158" s="18" t="s">
        <v>185</v>
      </c>
      <c r="E158" s="18" t="s">
        <v>928</v>
      </c>
      <c r="F158" s="18" t="s">
        <v>929</v>
      </c>
      <c r="G158" s="22">
        <v>1</v>
      </c>
      <c r="H158" s="22">
        <v>1</v>
      </c>
      <c r="I158" s="22">
        <v>2</v>
      </c>
      <c r="J158" s="10"/>
    </row>
    <row r="159" spans="1:10" ht="21.6">
      <c r="A159" s="6">
        <v>154</v>
      </c>
      <c r="B159" s="166"/>
      <c r="C159" s="22" t="s">
        <v>972</v>
      </c>
      <c r="D159" s="18" t="s">
        <v>187</v>
      </c>
      <c r="E159" s="18" t="s">
        <v>924</v>
      </c>
      <c r="F159" s="18" t="s">
        <v>929</v>
      </c>
      <c r="G159" s="169">
        <v>2</v>
      </c>
      <c r="H159" s="171">
        <v>2</v>
      </c>
      <c r="I159" s="11">
        <v>1</v>
      </c>
      <c r="J159" s="10"/>
    </row>
    <row r="160" spans="1:10">
      <c r="A160" s="6">
        <v>155</v>
      </c>
      <c r="B160" s="166"/>
      <c r="C160" s="22" t="s">
        <v>973</v>
      </c>
      <c r="D160" s="18" t="s">
        <v>974</v>
      </c>
      <c r="E160" s="18" t="s">
        <v>928</v>
      </c>
      <c r="F160" s="18" t="s">
        <v>929</v>
      </c>
      <c r="G160" s="169"/>
      <c r="H160" s="172"/>
      <c r="I160" s="11"/>
      <c r="J160" s="10"/>
    </row>
    <row r="161" spans="1:10">
      <c r="A161" s="6">
        <v>156</v>
      </c>
      <c r="B161" s="166"/>
      <c r="C161" s="22" t="s">
        <v>975</v>
      </c>
      <c r="D161" s="18" t="s">
        <v>976</v>
      </c>
      <c r="E161" s="18" t="s">
        <v>928</v>
      </c>
      <c r="F161" s="18" t="s">
        <v>929</v>
      </c>
      <c r="G161" s="169"/>
      <c r="H161" s="172"/>
      <c r="I161" s="11"/>
      <c r="J161" s="10"/>
    </row>
    <row r="162" spans="1:10">
      <c r="A162" s="6">
        <v>157</v>
      </c>
      <c r="B162" s="166"/>
      <c r="C162" s="22" t="s">
        <v>977</v>
      </c>
      <c r="D162" s="18" t="s">
        <v>978</v>
      </c>
      <c r="E162" s="18" t="s">
        <v>928</v>
      </c>
      <c r="F162" s="18" t="s">
        <v>929</v>
      </c>
      <c r="G162" s="169"/>
      <c r="H162" s="173"/>
      <c r="I162" s="11">
        <v>2</v>
      </c>
      <c r="J162" s="10"/>
    </row>
    <row r="163" spans="1:10" s="49" customFormat="1">
      <c r="A163" s="6">
        <v>158</v>
      </c>
      <c r="B163" s="45" t="s">
        <v>790</v>
      </c>
      <c r="C163" s="46"/>
      <c r="D163" s="46"/>
      <c r="E163" s="46"/>
      <c r="F163" s="46"/>
      <c r="G163" s="47">
        <f>SUM(G156:G162)</f>
        <v>6</v>
      </c>
      <c r="H163" s="47">
        <f t="shared" ref="H163:I163" si="8">SUM(H156:H162)</f>
        <v>7</v>
      </c>
      <c r="I163" s="47">
        <f t="shared" si="8"/>
        <v>9</v>
      </c>
      <c r="J163" s="48"/>
    </row>
    <row r="164" spans="1:10" ht="21.6">
      <c r="A164" s="6">
        <v>159</v>
      </c>
      <c r="B164" s="166" t="s">
        <v>979</v>
      </c>
      <c r="C164" s="22" t="s">
        <v>192</v>
      </c>
      <c r="D164" s="18" t="s">
        <v>193</v>
      </c>
      <c r="E164" s="18" t="s">
        <v>928</v>
      </c>
      <c r="F164" s="18" t="s">
        <v>929</v>
      </c>
      <c r="G164" s="11">
        <v>1</v>
      </c>
      <c r="H164" s="11">
        <v>2</v>
      </c>
      <c r="I164" s="11">
        <v>2</v>
      </c>
      <c r="J164" s="10"/>
    </row>
    <row r="165" spans="1:10" ht="21.6">
      <c r="A165" s="6">
        <v>160</v>
      </c>
      <c r="B165" s="166"/>
      <c r="C165" s="22" t="s">
        <v>194</v>
      </c>
      <c r="D165" s="18" t="s">
        <v>195</v>
      </c>
      <c r="E165" s="18" t="s">
        <v>928</v>
      </c>
      <c r="F165" s="18" t="s">
        <v>929</v>
      </c>
      <c r="G165" s="11">
        <v>1</v>
      </c>
      <c r="H165" s="11">
        <v>2</v>
      </c>
      <c r="I165" s="11">
        <v>2</v>
      </c>
      <c r="J165" s="10"/>
    </row>
    <row r="166" spans="1:10">
      <c r="A166" s="6">
        <v>161</v>
      </c>
      <c r="B166" s="166"/>
      <c r="C166" s="22" t="s">
        <v>196</v>
      </c>
      <c r="D166" s="18" t="s">
        <v>197</v>
      </c>
      <c r="E166" s="18" t="s">
        <v>928</v>
      </c>
      <c r="F166" s="18" t="s">
        <v>929</v>
      </c>
      <c r="G166" s="11">
        <v>1</v>
      </c>
      <c r="H166" s="11">
        <v>1</v>
      </c>
      <c r="I166" s="11">
        <v>2</v>
      </c>
      <c r="J166" s="10"/>
    </row>
    <row r="167" spans="1:10" ht="21.6">
      <c r="A167" s="6">
        <v>162</v>
      </c>
      <c r="B167" s="166"/>
      <c r="C167" s="22" t="s">
        <v>980</v>
      </c>
      <c r="D167" s="18" t="s">
        <v>981</v>
      </c>
      <c r="E167" s="18" t="s">
        <v>924</v>
      </c>
      <c r="F167" s="18" t="s">
        <v>929</v>
      </c>
      <c r="G167" s="169">
        <v>1</v>
      </c>
      <c r="H167" s="171">
        <v>2</v>
      </c>
      <c r="I167" s="11">
        <v>1</v>
      </c>
      <c r="J167" s="10"/>
    </row>
    <row r="168" spans="1:10">
      <c r="A168" s="6">
        <v>163</v>
      </c>
      <c r="B168" s="166"/>
      <c r="C168" s="22" t="s">
        <v>982</v>
      </c>
      <c r="D168" s="18" t="s">
        <v>983</v>
      </c>
      <c r="E168" s="18" t="s">
        <v>928</v>
      </c>
      <c r="F168" s="18" t="s">
        <v>929</v>
      </c>
      <c r="G168" s="169"/>
      <c r="H168" s="172"/>
      <c r="I168" s="11"/>
      <c r="J168" s="10"/>
    </row>
    <row r="169" spans="1:10">
      <c r="A169" s="6">
        <v>164</v>
      </c>
      <c r="B169" s="166"/>
      <c r="C169" s="22" t="s">
        <v>984</v>
      </c>
      <c r="D169" s="18" t="s">
        <v>985</v>
      </c>
      <c r="E169" s="18" t="s">
        <v>928</v>
      </c>
      <c r="F169" s="18" t="s">
        <v>929</v>
      </c>
      <c r="G169" s="169"/>
      <c r="H169" s="172"/>
      <c r="I169" s="11"/>
      <c r="J169" s="10"/>
    </row>
    <row r="170" spans="1:10">
      <c r="A170" s="6">
        <v>165</v>
      </c>
      <c r="B170" s="166"/>
      <c r="C170" s="22" t="s">
        <v>986</v>
      </c>
      <c r="D170" s="18" t="s">
        <v>987</v>
      </c>
      <c r="E170" s="18" t="s">
        <v>928</v>
      </c>
      <c r="F170" s="18" t="s">
        <v>929</v>
      </c>
      <c r="G170" s="169"/>
      <c r="H170" s="173"/>
      <c r="I170" s="11">
        <v>1</v>
      </c>
      <c r="J170" s="10"/>
    </row>
    <row r="171" spans="1:10" s="49" customFormat="1">
      <c r="A171" s="6">
        <v>166</v>
      </c>
      <c r="B171" s="45" t="s">
        <v>790</v>
      </c>
      <c r="C171" s="46"/>
      <c r="D171" s="46"/>
      <c r="E171" s="46"/>
      <c r="F171" s="46"/>
      <c r="G171" s="47">
        <f>SUM(G164:G170)</f>
        <v>4</v>
      </c>
      <c r="H171" s="47">
        <f t="shared" ref="H171:I171" si="9">SUM(H164:H170)</f>
        <v>7</v>
      </c>
      <c r="I171" s="47">
        <f t="shared" si="9"/>
        <v>8</v>
      </c>
      <c r="J171" s="48"/>
    </row>
    <row r="172" spans="1:10" ht="21.6">
      <c r="A172" s="6">
        <v>167</v>
      </c>
      <c r="B172" s="166" t="s">
        <v>988</v>
      </c>
      <c r="C172" s="22" t="s">
        <v>989</v>
      </c>
      <c r="D172" s="18" t="s">
        <v>990</v>
      </c>
      <c r="E172" s="18" t="s">
        <v>991</v>
      </c>
      <c r="F172" s="18" t="s">
        <v>929</v>
      </c>
      <c r="G172" s="11">
        <v>1</v>
      </c>
      <c r="H172" s="11">
        <v>2</v>
      </c>
      <c r="I172" s="11">
        <v>2</v>
      </c>
      <c r="J172" s="10"/>
    </row>
    <row r="173" spans="1:10" ht="21.6">
      <c r="A173" s="6">
        <v>168</v>
      </c>
      <c r="B173" s="166"/>
      <c r="C173" s="22" t="s">
        <v>992</v>
      </c>
      <c r="D173" s="18" t="s">
        <v>993</v>
      </c>
      <c r="E173" s="18" t="s">
        <v>928</v>
      </c>
      <c r="F173" s="18" t="s">
        <v>967</v>
      </c>
      <c r="G173" s="11">
        <v>1</v>
      </c>
      <c r="H173" s="11">
        <v>2</v>
      </c>
      <c r="I173" s="11">
        <v>2</v>
      </c>
      <c r="J173" s="10"/>
    </row>
    <row r="174" spans="1:10">
      <c r="A174" s="6">
        <v>169</v>
      </c>
      <c r="B174" s="166"/>
      <c r="C174" s="22" t="s">
        <v>994</v>
      </c>
      <c r="D174" s="18" t="s">
        <v>995</v>
      </c>
      <c r="E174" s="18" t="s">
        <v>928</v>
      </c>
      <c r="F174" s="18" t="s">
        <v>996</v>
      </c>
      <c r="G174" s="11">
        <v>1</v>
      </c>
      <c r="H174" s="11">
        <v>1</v>
      </c>
      <c r="I174" s="11">
        <v>2</v>
      </c>
      <c r="J174" s="10"/>
    </row>
    <row r="175" spans="1:10" ht="21.6">
      <c r="A175" s="6">
        <v>170</v>
      </c>
      <c r="B175" s="166"/>
      <c r="C175" s="22" t="s">
        <v>997</v>
      </c>
      <c r="D175" s="18" t="s">
        <v>998</v>
      </c>
      <c r="E175" s="18" t="s">
        <v>999</v>
      </c>
      <c r="F175" s="18" t="s">
        <v>996</v>
      </c>
      <c r="G175" s="169">
        <v>1</v>
      </c>
      <c r="H175" s="11">
        <v>1</v>
      </c>
      <c r="I175" s="11">
        <v>1</v>
      </c>
      <c r="J175" s="10"/>
    </row>
    <row r="176" spans="1:10">
      <c r="A176" s="6">
        <v>171</v>
      </c>
      <c r="B176" s="166"/>
      <c r="C176" s="22" t="s">
        <v>1000</v>
      </c>
      <c r="D176" s="165" t="s">
        <v>1464</v>
      </c>
      <c r="E176" s="18" t="s">
        <v>928</v>
      </c>
      <c r="F176" s="18" t="s">
        <v>996</v>
      </c>
      <c r="G176" s="169"/>
      <c r="H176" s="11"/>
      <c r="I176" s="11"/>
      <c r="J176" s="10"/>
    </row>
    <row r="177" spans="1:10">
      <c r="A177" s="6">
        <v>172</v>
      </c>
      <c r="B177" s="166"/>
      <c r="C177" s="22" t="s">
        <v>1001</v>
      </c>
      <c r="D177" s="165" t="s">
        <v>1465</v>
      </c>
      <c r="E177" s="18" t="s">
        <v>928</v>
      </c>
      <c r="F177" s="18" t="s">
        <v>996</v>
      </c>
      <c r="G177" s="169"/>
      <c r="H177" s="11"/>
      <c r="I177" s="11"/>
      <c r="J177" s="10"/>
    </row>
    <row r="178" spans="1:10">
      <c r="A178" s="6">
        <v>173</v>
      </c>
      <c r="B178" s="166"/>
      <c r="C178" s="22" t="s">
        <v>1002</v>
      </c>
      <c r="D178" s="18" t="s">
        <v>1003</v>
      </c>
      <c r="E178" s="18" t="s">
        <v>928</v>
      </c>
      <c r="F178" s="18" t="s">
        <v>996</v>
      </c>
      <c r="G178" s="169"/>
      <c r="H178" s="11">
        <v>1</v>
      </c>
      <c r="I178" s="11">
        <v>1</v>
      </c>
      <c r="J178" s="10"/>
    </row>
    <row r="179" spans="1:10" s="49" customFormat="1">
      <c r="A179" s="6">
        <v>174</v>
      </c>
      <c r="B179" s="45" t="s">
        <v>1004</v>
      </c>
      <c r="C179" s="46"/>
      <c r="D179" s="46"/>
      <c r="E179" s="46"/>
      <c r="F179" s="46"/>
      <c r="G179" s="47">
        <f>SUM(G172:G178)</f>
        <v>4</v>
      </c>
      <c r="H179" s="47">
        <f>SUM(H172:H178)</f>
        <v>7</v>
      </c>
      <c r="I179" s="47">
        <f>SUM(I172:I178)</f>
        <v>8</v>
      </c>
      <c r="J179" s="48"/>
    </row>
    <row r="180" spans="1:10" s="60" customFormat="1" ht="20.25" customHeight="1">
      <c r="A180" s="6">
        <v>175</v>
      </c>
      <c r="B180" s="56" t="s">
        <v>1005</v>
      </c>
      <c r="C180" s="57"/>
      <c r="D180" s="57"/>
      <c r="E180" s="57"/>
      <c r="F180" s="57"/>
      <c r="G180" s="58">
        <f>G141+G147+G155+G163+G171+G179</f>
        <v>34</v>
      </c>
      <c r="H180" s="58">
        <f>H141+H147+H155+H163+H171+H179</f>
        <v>44</v>
      </c>
      <c r="I180" s="58">
        <f>I141+I147+I155+I163+I171+I179</f>
        <v>54</v>
      </c>
      <c r="J180" s="59"/>
    </row>
    <row r="181" spans="1:10" ht="21" customHeight="1">
      <c r="A181" s="6">
        <v>176</v>
      </c>
      <c r="B181" s="167" t="s">
        <v>1006</v>
      </c>
      <c r="C181" s="22" t="s">
        <v>1007</v>
      </c>
      <c r="D181" s="10" t="s">
        <v>1008</v>
      </c>
      <c r="E181" s="18" t="s">
        <v>1009</v>
      </c>
      <c r="F181" s="18" t="s">
        <v>1010</v>
      </c>
      <c r="G181" s="11">
        <v>2</v>
      </c>
      <c r="H181" s="11">
        <v>2</v>
      </c>
      <c r="I181" s="11">
        <v>2</v>
      </c>
      <c r="J181" s="168"/>
    </row>
    <row r="182" spans="1:10" ht="16.5" customHeight="1">
      <c r="A182" s="6">
        <v>177</v>
      </c>
      <c r="B182" s="167"/>
      <c r="C182" s="22" t="s">
        <v>1011</v>
      </c>
      <c r="D182" s="10" t="s">
        <v>1012</v>
      </c>
      <c r="E182" s="18" t="s">
        <v>1009</v>
      </c>
      <c r="F182" s="18" t="s">
        <v>1013</v>
      </c>
      <c r="G182" s="11">
        <v>2</v>
      </c>
      <c r="H182" s="11">
        <v>3</v>
      </c>
      <c r="I182" s="11">
        <v>3</v>
      </c>
      <c r="J182" s="168"/>
    </row>
    <row r="183" spans="1:10" s="28" customFormat="1" ht="21.6">
      <c r="A183" s="6">
        <v>178</v>
      </c>
      <c r="B183" s="166" t="s">
        <v>1014</v>
      </c>
      <c r="C183" s="22" t="s">
        <v>1015</v>
      </c>
      <c r="D183" s="18" t="s">
        <v>1016</v>
      </c>
      <c r="E183" s="18" t="s">
        <v>1017</v>
      </c>
      <c r="F183" s="18" t="s">
        <v>1013</v>
      </c>
      <c r="G183" s="22">
        <v>2</v>
      </c>
      <c r="H183" s="22">
        <v>2</v>
      </c>
      <c r="I183" s="22">
        <v>2</v>
      </c>
      <c r="J183" s="168" t="s">
        <v>1018</v>
      </c>
    </row>
    <row r="184" spans="1:10" s="28" customFormat="1" ht="21.6">
      <c r="A184" s="6">
        <v>179</v>
      </c>
      <c r="B184" s="166"/>
      <c r="C184" s="22" t="s">
        <v>1019</v>
      </c>
      <c r="D184" s="18" t="s">
        <v>1020</v>
      </c>
      <c r="E184" s="18" t="s">
        <v>1017</v>
      </c>
      <c r="F184" s="18" t="s">
        <v>1021</v>
      </c>
      <c r="G184" s="11">
        <v>1</v>
      </c>
      <c r="H184" s="11">
        <v>1</v>
      </c>
      <c r="I184" s="11">
        <v>1</v>
      </c>
      <c r="J184" s="168"/>
    </row>
    <row r="185" spans="1:10" s="28" customFormat="1" ht="21.6">
      <c r="A185" s="6">
        <v>180</v>
      </c>
      <c r="B185" s="166"/>
      <c r="C185" s="22" t="s">
        <v>1022</v>
      </c>
      <c r="D185" s="18" t="s">
        <v>1023</v>
      </c>
      <c r="E185" s="18" t="s">
        <v>1017</v>
      </c>
      <c r="F185" s="18" t="s">
        <v>1021</v>
      </c>
      <c r="G185" s="22">
        <v>1</v>
      </c>
      <c r="H185" s="22">
        <v>1</v>
      </c>
      <c r="I185" s="22">
        <v>1</v>
      </c>
      <c r="J185" s="168"/>
    </row>
    <row r="186" spans="1:10" s="28" customFormat="1" ht="18" customHeight="1">
      <c r="A186" s="6">
        <v>181</v>
      </c>
      <c r="B186" s="166"/>
      <c r="C186" s="22" t="s">
        <v>1024</v>
      </c>
      <c r="D186" s="18" t="s">
        <v>1025</v>
      </c>
      <c r="E186" s="18" t="s">
        <v>1017</v>
      </c>
      <c r="F186" s="18" t="s">
        <v>1010</v>
      </c>
      <c r="G186" s="22">
        <v>2</v>
      </c>
      <c r="H186" s="22">
        <v>3</v>
      </c>
      <c r="I186" s="22">
        <v>3</v>
      </c>
      <c r="J186" s="168"/>
    </row>
    <row r="187" spans="1:10" s="28" customFormat="1" ht="21.6">
      <c r="A187" s="6">
        <v>182</v>
      </c>
      <c r="B187" s="166"/>
      <c r="C187" s="22" t="s">
        <v>1026</v>
      </c>
      <c r="D187" s="18" t="s">
        <v>1027</v>
      </c>
      <c r="E187" s="18" t="s">
        <v>1017</v>
      </c>
      <c r="F187" s="18" t="s">
        <v>1021</v>
      </c>
      <c r="G187" s="170">
        <v>2</v>
      </c>
      <c r="H187" s="170">
        <v>4</v>
      </c>
      <c r="I187" s="170">
        <v>4</v>
      </c>
      <c r="J187" s="168"/>
    </row>
    <row r="188" spans="1:10" s="28" customFormat="1" ht="21.6">
      <c r="A188" s="6">
        <v>183</v>
      </c>
      <c r="B188" s="166"/>
      <c r="C188" s="22" t="s">
        <v>1028</v>
      </c>
      <c r="D188" s="18" t="s">
        <v>1029</v>
      </c>
      <c r="E188" s="18" t="s">
        <v>1017</v>
      </c>
      <c r="F188" s="18" t="s">
        <v>1021</v>
      </c>
      <c r="G188" s="170"/>
      <c r="H188" s="170"/>
      <c r="I188" s="170"/>
      <c r="J188" s="168"/>
    </row>
    <row r="189" spans="1:10" s="28" customFormat="1" ht="19.5" customHeight="1">
      <c r="A189" s="6">
        <v>184</v>
      </c>
      <c r="B189" s="166"/>
      <c r="C189" s="22" t="s">
        <v>1030</v>
      </c>
      <c r="D189" s="18" t="s">
        <v>1031</v>
      </c>
      <c r="E189" s="18" t="s">
        <v>1017</v>
      </c>
      <c r="F189" s="18" t="s">
        <v>1021</v>
      </c>
      <c r="G189" s="22">
        <v>2</v>
      </c>
      <c r="H189" s="22">
        <v>2</v>
      </c>
      <c r="I189" s="22">
        <v>2</v>
      </c>
      <c r="J189" s="168"/>
    </row>
    <row r="190" spans="1:10" s="28" customFormat="1" ht="21" customHeight="1">
      <c r="A190" s="6">
        <v>185</v>
      </c>
      <c r="B190" s="166"/>
      <c r="C190" s="22" t="s">
        <v>1032</v>
      </c>
      <c r="D190" s="18" t="s">
        <v>1033</v>
      </c>
      <c r="E190" s="18" t="s">
        <v>1017</v>
      </c>
      <c r="F190" s="18" t="s">
        <v>1021</v>
      </c>
      <c r="G190" s="22">
        <v>2</v>
      </c>
      <c r="H190" s="22">
        <v>2</v>
      </c>
      <c r="I190" s="22">
        <v>2</v>
      </c>
      <c r="J190" s="168"/>
    </row>
    <row r="191" spans="1:10" s="28" customFormat="1" ht="28.5" customHeight="1">
      <c r="A191" s="6">
        <v>186</v>
      </c>
      <c r="B191" s="166"/>
      <c r="C191" s="22" t="s">
        <v>1034</v>
      </c>
      <c r="D191" s="18" t="s">
        <v>1035</v>
      </c>
      <c r="E191" s="18" t="s">
        <v>1036</v>
      </c>
      <c r="F191" s="18" t="s">
        <v>1021</v>
      </c>
      <c r="G191" s="174">
        <v>3</v>
      </c>
      <c r="H191" s="174">
        <v>3</v>
      </c>
      <c r="I191" s="22">
        <v>3</v>
      </c>
      <c r="J191" s="168"/>
    </row>
    <row r="192" spans="1:10" s="28" customFormat="1" ht="28.5" customHeight="1">
      <c r="A192" s="6">
        <v>187</v>
      </c>
      <c r="B192" s="166"/>
      <c r="C192" s="22" t="s">
        <v>1037</v>
      </c>
      <c r="D192" s="18" t="s">
        <v>1038</v>
      </c>
      <c r="E192" s="18" t="s">
        <v>1039</v>
      </c>
      <c r="F192" s="18" t="s">
        <v>1021</v>
      </c>
      <c r="G192" s="175"/>
      <c r="H192" s="175"/>
      <c r="I192" s="22">
        <v>1</v>
      </c>
      <c r="J192" s="168"/>
    </row>
    <row r="193" spans="1:10" s="49" customFormat="1" ht="21.75" customHeight="1">
      <c r="A193" s="6">
        <v>188</v>
      </c>
      <c r="B193" s="45" t="s">
        <v>752</v>
      </c>
      <c r="C193" s="46"/>
      <c r="D193" s="46"/>
      <c r="E193" s="46"/>
      <c r="F193" s="46"/>
      <c r="G193" s="47">
        <f>SUM(G181:G192)</f>
        <v>19</v>
      </c>
      <c r="H193" s="47">
        <f>SUM(H181:H192)</f>
        <v>23</v>
      </c>
      <c r="I193" s="47">
        <f>SUM(I181:I192)</f>
        <v>24</v>
      </c>
      <c r="J193" s="48"/>
    </row>
    <row r="194" spans="1:10" s="28" customFormat="1" ht="19.5" customHeight="1">
      <c r="A194" s="6">
        <v>189</v>
      </c>
      <c r="B194" s="166" t="s">
        <v>1040</v>
      </c>
      <c r="C194" s="22" t="s">
        <v>1041</v>
      </c>
      <c r="D194" s="18" t="s">
        <v>1042</v>
      </c>
      <c r="E194" s="18" t="s">
        <v>1043</v>
      </c>
      <c r="F194" s="18" t="s">
        <v>1021</v>
      </c>
      <c r="G194" s="169">
        <v>2</v>
      </c>
      <c r="H194" s="11">
        <v>2</v>
      </c>
      <c r="I194" s="11">
        <v>2</v>
      </c>
      <c r="J194" s="168"/>
    </row>
    <row r="195" spans="1:10" s="28" customFormat="1">
      <c r="A195" s="6">
        <v>190</v>
      </c>
      <c r="B195" s="166"/>
      <c r="C195" s="22" t="s">
        <v>1044</v>
      </c>
      <c r="D195" s="18" t="s">
        <v>1045</v>
      </c>
      <c r="E195" s="18" t="s">
        <v>1043</v>
      </c>
      <c r="F195" s="18" t="s">
        <v>1021</v>
      </c>
      <c r="G195" s="169"/>
      <c r="H195" s="169">
        <v>1</v>
      </c>
      <c r="I195" s="169">
        <v>1</v>
      </c>
      <c r="J195" s="168"/>
    </row>
    <row r="196" spans="1:10" s="28" customFormat="1">
      <c r="A196" s="6">
        <v>191</v>
      </c>
      <c r="B196" s="166"/>
      <c r="C196" s="22" t="s">
        <v>1046</v>
      </c>
      <c r="D196" s="18" t="s">
        <v>1047</v>
      </c>
      <c r="E196" s="18" t="s">
        <v>1043</v>
      </c>
      <c r="F196" s="18" t="s">
        <v>1021</v>
      </c>
      <c r="G196" s="169"/>
      <c r="H196" s="169"/>
      <c r="I196" s="169"/>
      <c r="J196" s="168"/>
    </row>
    <row r="197" spans="1:10" s="28" customFormat="1" ht="21.6">
      <c r="A197" s="6">
        <v>192</v>
      </c>
      <c r="B197" s="166"/>
      <c r="C197" s="22" t="s">
        <v>1048</v>
      </c>
      <c r="D197" s="18" t="s">
        <v>1049</v>
      </c>
      <c r="E197" s="18" t="s">
        <v>1050</v>
      </c>
      <c r="F197" s="18" t="s">
        <v>1021</v>
      </c>
      <c r="G197" s="11">
        <v>2</v>
      </c>
      <c r="H197" s="11">
        <v>2</v>
      </c>
      <c r="I197" s="11">
        <v>2</v>
      </c>
      <c r="J197" s="168"/>
    </row>
    <row r="198" spans="1:10" s="28" customFormat="1" ht="21.6">
      <c r="A198" s="6">
        <v>193</v>
      </c>
      <c r="B198" s="166"/>
      <c r="C198" s="22" t="s">
        <v>1051</v>
      </c>
      <c r="D198" s="18" t="s">
        <v>1052</v>
      </c>
      <c r="E198" s="18" t="s">
        <v>1050</v>
      </c>
      <c r="F198" s="18" t="s">
        <v>1021</v>
      </c>
      <c r="G198" s="11">
        <v>1</v>
      </c>
      <c r="H198" s="11">
        <v>1</v>
      </c>
      <c r="I198" s="11">
        <v>2</v>
      </c>
      <c r="J198" s="168"/>
    </row>
    <row r="199" spans="1:10" s="28" customFormat="1" ht="21.6">
      <c r="A199" s="6">
        <v>194</v>
      </c>
      <c r="B199" s="166"/>
      <c r="C199" s="22" t="s">
        <v>1053</v>
      </c>
      <c r="D199" s="18" t="s">
        <v>1054</v>
      </c>
      <c r="E199" s="18" t="s">
        <v>1050</v>
      </c>
      <c r="F199" s="18" t="s">
        <v>1021</v>
      </c>
      <c r="G199" s="169">
        <v>2</v>
      </c>
      <c r="H199" s="169">
        <v>2</v>
      </c>
      <c r="I199" s="169">
        <v>2</v>
      </c>
      <c r="J199" s="168"/>
    </row>
    <row r="200" spans="1:10" s="28" customFormat="1" ht="21.6">
      <c r="A200" s="6">
        <v>195</v>
      </c>
      <c r="B200" s="166"/>
      <c r="C200" s="22" t="s">
        <v>1055</v>
      </c>
      <c r="D200" s="18" t="s">
        <v>1056</v>
      </c>
      <c r="E200" s="18" t="s">
        <v>1050</v>
      </c>
      <c r="F200" s="18" t="s">
        <v>1021</v>
      </c>
      <c r="G200" s="169"/>
      <c r="H200" s="169"/>
      <c r="I200" s="169"/>
      <c r="J200" s="168"/>
    </row>
    <row r="201" spans="1:10" s="28" customFormat="1" ht="21.6">
      <c r="A201" s="6">
        <v>196</v>
      </c>
      <c r="B201" s="166"/>
      <c r="C201" s="22" t="s">
        <v>1057</v>
      </c>
      <c r="D201" s="18" t="s">
        <v>1058</v>
      </c>
      <c r="E201" s="18" t="s">
        <v>1059</v>
      </c>
      <c r="F201" s="18" t="s">
        <v>1021</v>
      </c>
      <c r="G201" s="11">
        <v>3</v>
      </c>
      <c r="H201" s="11">
        <v>3</v>
      </c>
      <c r="I201" s="11">
        <v>4</v>
      </c>
      <c r="J201" s="168"/>
    </row>
    <row r="202" spans="1:10" s="28" customFormat="1" ht="20.25" customHeight="1">
      <c r="A202" s="6">
        <v>197</v>
      </c>
      <c r="B202" s="166" t="s">
        <v>1060</v>
      </c>
      <c r="C202" s="10" t="s">
        <v>1061</v>
      </c>
      <c r="D202" s="10" t="s">
        <v>1062</v>
      </c>
      <c r="E202" s="18" t="s">
        <v>1063</v>
      </c>
      <c r="F202" s="18" t="s">
        <v>1021</v>
      </c>
      <c r="G202" s="11">
        <v>2</v>
      </c>
      <c r="H202" s="11">
        <v>2</v>
      </c>
      <c r="I202" s="11">
        <v>2</v>
      </c>
      <c r="J202" s="10"/>
    </row>
    <row r="203" spans="1:10" s="28" customFormat="1" ht="20.25" customHeight="1">
      <c r="A203" s="6">
        <v>198</v>
      </c>
      <c r="B203" s="166"/>
      <c r="C203" s="10" t="s">
        <v>1064</v>
      </c>
      <c r="D203" s="10" t="s">
        <v>1065</v>
      </c>
      <c r="E203" s="18" t="s">
        <v>1063</v>
      </c>
      <c r="F203" s="18" t="s">
        <v>1021</v>
      </c>
      <c r="G203" s="11">
        <v>1</v>
      </c>
      <c r="H203" s="11">
        <v>1</v>
      </c>
      <c r="I203" s="11">
        <v>1</v>
      </c>
      <c r="J203" s="10"/>
    </row>
    <row r="204" spans="1:10" s="49" customFormat="1" ht="21.75" customHeight="1">
      <c r="A204" s="6">
        <v>199</v>
      </c>
      <c r="B204" s="45" t="s">
        <v>752</v>
      </c>
      <c r="C204" s="46"/>
      <c r="D204" s="46"/>
      <c r="E204" s="46"/>
      <c r="F204" s="46"/>
      <c r="G204" s="47">
        <f>SUM(G194:G203)</f>
        <v>13</v>
      </c>
      <c r="H204" s="47">
        <f>SUM(H194:H203)</f>
        <v>14</v>
      </c>
      <c r="I204" s="47">
        <f>SUM(I194:I203)</f>
        <v>16</v>
      </c>
      <c r="J204" s="48"/>
    </row>
    <row r="205" spans="1:10" s="28" customFormat="1" ht="18" customHeight="1">
      <c r="A205" s="6">
        <v>200</v>
      </c>
      <c r="B205" s="167" t="s">
        <v>1066</v>
      </c>
      <c r="C205" s="10" t="s">
        <v>1067</v>
      </c>
      <c r="D205" s="10" t="s">
        <v>1068</v>
      </c>
      <c r="E205" s="18" t="s">
        <v>1069</v>
      </c>
      <c r="F205" s="18" t="s">
        <v>1021</v>
      </c>
      <c r="G205" s="11">
        <v>3</v>
      </c>
      <c r="H205" s="11">
        <v>3</v>
      </c>
      <c r="I205" s="11">
        <v>3</v>
      </c>
      <c r="J205" s="168"/>
    </row>
    <row r="206" spans="1:10" s="28" customFormat="1" ht="18" customHeight="1">
      <c r="A206" s="6">
        <v>201</v>
      </c>
      <c r="B206" s="167"/>
      <c r="C206" s="10" t="s">
        <v>1070</v>
      </c>
      <c r="D206" s="10" t="s">
        <v>1071</v>
      </c>
      <c r="E206" s="18" t="s">
        <v>1069</v>
      </c>
      <c r="F206" s="18" t="s">
        <v>1021</v>
      </c>
      <c r="G206" s="11">
        <v>1</v>
      </c>
      <c r="H206" s="11">
        <v>2</v>
      </c>
      <c r="I206" s="11">
        <v>2</v>
      </c>
      <c r="J206" s="168"/>
    </row>
    <row r="207" spans="1:10" s="28" customFormat="1" ht="17.25" customHeight="1">
      <c r="A207" s="6">
        <v>202</v>
      </c>
      <c r="B207" s="167"/>
      <c r="C207" s="10" t="s">
        <v>1072</v>
      </c>
      <c r="D207" s="10" t="s">
        <v>1073</v>
      </c>
      <c r="E207" s="18" t="s">
        <v>1069</v>
      </c>
      <c r="F207" s="18" t="s">
        <v>1021</v>
      </c>
      <c r="G207" s="11">
        <v>1</v>
      </c>
      <c r="H207" s="11">
        <v>1</v>
      </c>
      <c r="I207" s="11">
        <v>2</v>
      </c>
      <c r="J207" s="168"/>
    </row>
    <row r="208" spans="1:10" s="28" customFormat="1" ht="18" customHeight="1">
      <c r="A208" s="6">
        <v>203</v>
      </c>
      <c r="B208" s="167"/>
      <c r="C208" s="10" t="s">
        <v>1074</v>
      </c>
      <c r="D208" s="10" t="s">
        <v>1075</v>
      </c>
      <c r="E208" s="18" t="s">
        <v>1069</v>
      </c>
      <c r="F208" s="18" t="s">
        <v>1021</v>
      </c>
      <c r="G208" s="11">
        <v>1</v>
      </c>
      <c r="H208" s="11">
        <v>1</v>
      </c>
      <c r="I208" s="11">
        <v>1</v>
      </c>
      <c r="J208" s="168"/>
    </row>
    <row r="209" spans="1:10" s="49" customFormat="1" ht="20.25" customHeight="1">
      <c r="A209" s="6">
        <v>204</v>
      </c>
      <c r="B209" s="45" t="s">
        <v>752</v>
      </c>
      <c r="C209" s="46"/>
      <c r="D209" s="46"/>
      <c r="E209" s="46"/>
      <c r="F209" s="46"/>
      <c r="G209" s="47">
        <f>SUM(G205:G208)</f>
        <v>6</v>
      </c>
      <c r="H209" s="47">
        <f>SUM(H205:H208)</f>
        <v>7</v>
      </c>
      <c r="I209" s="47">
        <f>SUM(I205:I208)</f>
        <v>8</v>
      </c>
      <c r="J209" s="48"/>
    </row>
    <row r="210" spans="1:10" s="60" customFormat="1" ht="20.25" customHeight="1">
      <c r="A210" s="6">
        <v>205</v>
      </c>
      <c r="B210" s="56" t="s">
        <v>857</v>
      </c>
      <c r="C210" s="57"/>
      <c r="D210" s="57"/>
      <c r="E210" s="57"/>
      <c r="F210" s="57"/>
      <c r="G210" s="58">
        <f>G193+G204+G209</f>
        <v>38</v>
      </c>
      <c r="H210" s="58">
        <f>H193+H204+H209</f>
        <v>44</v>
      </c>
      <c r="I210" s="58">
        <f>I193+I204+I209</f>
        <v>48</v>
      </c>
      <c r="J210" s="59"/>
    </row>
    <row r="211" spans="1:10" s="67" customFormat="1" ht="26.25" customHeight="1">
      <c r="A211" s="6">
        <v>206</v>
      </c>
      <c r="B211" s="40" t="s">
        <v>1076</v>
      </c>
      <c r="C211" s="7"/>
      <c r="D211" s="7"/>
      <c r="E211" s="7"/>
      <c r="F211" s="7"/>
      <c r="G211" s="65">
        <f>G210+G180+G130+G90+G47</f>
        <v>171</v>
      </c>
      <c r="H211" s="65">
        <f>H210+H180+H130+H90+H47</f>
        <v>203</v>
      </c>
      <c r="I211" s="65">
        <f>I210+I180+I130+I90+I47</f>
        <v>233</v>
      </c>
      <c r="J211" s="66"/>
    </row>
  </sheetData>
  <autoFilter ref="A4:K211"/>
  <mergeCells count="118">
    <mergeCell ref="A1:B2"/>
    <mergeCell ref="C1:F2"/>
    <mergeCell ref="G1:J1"/>
    <mergeCell ref="G2:J2"/>
    <mergeCell ref="A3:B3"/>
    <mergeCell ref="C3:F3"/>
    <mergeCell ref="G3:J3"/>
    <mergeCell ref="G4:G5"/>
    <mergeCell ref="H4:H5"/>
    <mergeCell ref="I4:I5"/>
    <mergeCell ref="J4:J5"/>
    <mergeCell ref="B6:B12"/>
    <mergeCell ref="G6:G7"/>
    <mergeCell ref="J6:J12"/>
    <mergeCell ref="A4:A5"/>
    <mergeCell ref="B4:B5"/>
    <mergeCell ref="C4:C5"/>
    <mergeCell ref="D4:D5"/>
    <mergeCell ref="E4:E5"/>
    <mergeCell ref="F4:F5"/>
    <mergeCell ref="B23:B36"/>
    <mergeCell ref="J23:J36"/>
    <mergeCell ref="G27:G29"/>
    <mergeCell ref="G33:G34"/>
    <mergeCell ref="B38:B45"/>
    <mergeCell ref="J38:J42"/>
    <mergeCell ref="G40:G41"/>
    <mergeCell ref="G44:G45"/>
    <mergeCell ref="B14:B21"/>
    <mergeCell ref="G14:G15"/>
    <mergeCell ref="J14:J21"/>
    <mergeCell ref="G16:G17"/>
    <mergeCell ref="G18:G19"/>
    <mergeCell ref="G20:G21"/>
    <mergeCell ref="B48:B58"/>
    <mergeCell ref="G48:G50"/>
    <mergeCell ref="H48:H50"/>
    <mergeCell ref="G51:G52"/>
    <mergeCell ref="H51:H52"/>
    <mergeCell ref="G53:G55"/>
    <mergeCell ref="H53:H55"/>
    <mergeCell ref="G56:G57"/>
    <mergeCell ref="H56:H57"/>
    <mergeCell ref="B71:B79"/>
    <mergeCell ref="B80:B88"/>
    <mergeCell ref="B91:B98"/>
    <mergeCell ref="J91:J97"/>
    <mergeCell ref="H93:H95"/>
    <mergeCell ref="I93:I95"/>
    <mergeCell ref="B59:B69"/>
    <mergeCell ref="G59:G61"/>
    <mergeCell ref="H59:H61"/>
    <mergeCell ref="G62:G63"/>
    <mergeCell ref="H62:H63"/>
    <mergeCell ref="G64:G66"/>
    <mergeCell ref="H64:H66"/>
    <mergeCell ref="G67:G68"/>
    <mergeCell ref="H67:H68"/>
    <mergeCell ref="B100:B107"/>
    <mergeCell ref="J100:J107"/>
    <mergeCell ref="G102:G104"/>
    <mergeCell ref="B109:B119"/>
    <mergeCell ref="J109:J125"/>
    <mergeCell ref="G118:G120"/>
    <mergeCell ref="H118:H120"/>
    <mergeCell ref="I118:I120"/>
    <mergeCell ref="B120:B125"/>
    <mergeCell ref="B126:B128"/>
    <mergeCell ref="G126:G127"/>
    <mergeCell ref="H126:H127"/>
    <mergeCell ref="I126:I127"/>
    <mergeCell ref="B148:B154"/>
    <mergeCell ref="G148:G149"/>
    <mergeCell ref="G151:G154"/>
    <mergeCell ref="H151:H154"/>
    <mergeCell ref="J126:J128"/>
    <mergeCell ref="B131:B140"/>
    <mergeCell ref="H131:H132"/>
    <mergeCell ref="G134:G135"/>
    <mergeCell ref="H134:H135"/>
    <mergeCell ref="I134:I135"/>
    <mergeCell ref="I137:I138"/>
    <mergeCell ref="G139:G140"/>
    <mergeCell ref="H139:H140"/>
    <mergeCell ref="I139:I140"/>
    <mergeCell ref="B156:B162"/>
    <mergeCell ref="G156:G157"/>
    <mergeCell ref="G159:G162"/>
    <mergeCell ref="H159:H162"/>
    <mergeCell ref="G137:G138"/>
    <mergeCell ref="J181:J182"/>
    <mergeCell ref="B183:B192"/>
    <mergeCell ref="J183:J192"/>
    <mergeCell ref="G187:G188"/>
    <mergeCell ref="H187:H188"/>
    <mergeCell ref="I187:I188"/>
    <mergeCell ref="G191:G192"/>
    <mergeCell ref="H191:H192"/>
    <mergeCell ref="B164:B170"/>
    <mergeCell ref="G167:G170"/>
    <mergeCell ref="H167:H170"/>
    <mergeCell ref="B172:B178"/>
    <mergeCell ref="G175:G178"/>
    <mergeCell ref="B181:B182"/>
    <mergeCell ref="B142:B146"/>
    <mergeCell ref="G142:G143"/>
    <mergeCell ref="H142:H143"/>
    <mergeCell ref="B202:B203"/>
    <mergeCell ref="B205:B208"/>
    <mergeCell ref="J205:J208"/>
    <mergeCell ref="B194:B201"/>
    <mergeCell ref="G194:G196"/>
    <mergeCell ref="J194:J201"/>
    <mergeCell ref="H195:H196"/>
    <mergeCell ref="I195:I196"/>
    <mergeCell ref="G199:G200"/>
    <mergeCell ref="H199:H200"/>
    <mergeCell ref="I199:I200"/>
  </mergeCells>
  <phoneticPr fontId="8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4" orientation="portrait" r:id="rId1"/>
  <rowBreaks count="3" manualBreakCount="3">
    <brk id="57" max="9" man="1"/>
    <brk id="108" max="9" man="1"/>
    <brk id="163" max="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4"/>
  <sheetViews>
    <sheetView workbookViewId="0">
      <selection activeCell="G10" sqref="G10"/>
    </sheetView>
  </sheetViews>
  <sheetFormatPr defaultRowHeight="15.6"/>
  <cols>
    <col min="1" max="1" width="11.59765625" customWidth="1"/>
    <col min="2" max="2" width="59.59765625" style="34" customWidth="1"/>
    <col min="3" max="3" width="18.09765625" customWidth="1"/>
    <col min="4" max="4" width="19.69921875" customWidth="1"/>
  </cols>
  <sheetData>
    <row r="1" spans="1:4" s="37" customFormat="1" ht="36.75" customHeight="1">
      <c r="A1" s="35" t="s">
        <v>410</v>
      </c>
      <c r="B1" s="36" t="s">
        <v>411</v>
      </c>
      <c r="C1" s="35" t="s">
        <v>412</v>
      </c>
      <c r="D1" s="35" t="s">
        <v>413</v>
      </c>
    </row>
    <row r="2" spans="1:4" ht="36.75" customHeight="1">
      <c r="A2" s="30" t="s">
        <v>407</v>
      </c>
      <c r="B2" s="33" t="s">
        <v>408</v>
      </c>
      <c r="C2" s="30">
        <v>43886</v>
      </c>
      <c r="D2" s="30" t="s">
        <v>415</v>
      </c>
    </row>
    <row r="3" spans="1:4" ht="49.5" customHeight="1">
      <c r="A3" s="30" t="s">
        <v>409</v>
      </c>
      <c r="B3" s="33" t="s">
        <v>414</v>
      </c>
      <c r="C3" s="30">
        <v>43888</v>
      </c>
      <c r="D3" s="30" t="s">
        <v>415</v>
      </c>
    </row>
    <row r="4" spans="1:4" ht="36.75" customHeight="1">
      <c r="A4" s="30" t="s">
        <v>1106</v>
      </c>
      <c r="B4" s="33" t="s">
        <v>1107</v>
      </c>
      <c r="C4" s="30">
        <v>43923</v>
      </c>
      <c r="D4" s="30" t="s">
        <v>415</v>
      </c>
    </row>
    <row r="5" spans="1:4" ht="36.75" customHeight="1">
      <c r="A5" s="30" t="s">
        <v>1463</v>
      </c>
      <c r="B5" s="33" t="s">
        <v>1461</v>
      </c>
      <c r="C5" s="30">
        <v>43929</v>
      </c>
      <c r="D5" s="30" t="s">
        <v>1462</v>
      </c>
    </row>
    <row r="6" spans="1:4" ht="36.75" customHeight="1">
      <c r="A6" s="30"/>
      <c r="B6" s="33"/>
      <c r="C6" s="30"/>
      <c r="D6" s="30"/>
    </row>
    <row r="7" spans="1:4" ht="36.75" customHeight="1">
      <c r="A7" s="30"/>
      <c r="B7" s="33"/>
      <c r="C7" s="30"/>
      <c r="D7" s="30"/>
    </row>
    <row r="8" spans="1:4" ht="36.75" customHeight="1">
      <c r="A8" s="30"/>
      <c r="B8" s="33"/>
      <c r="C8" s="30"/>
      <c r="D8" s="30"/>
    </row>
    <row r="9" spans="1:4" ht="36.75" customHeight="1">
      <c r="A9" s="30"/>
      <c r="B9" s="33"/>
      <c r="C9" s="30"/>
      <c r="D9" s="30"/>
    </row>
    <row r="10" spans="1:4" ht="36.75" customHeight="1">
      <c r="A10" s="30"/>
      <c r="B10" s="33"/>
      <c r="C10" s="30"/>
      <c r="D10" s="30"/>
    </row>
    <row r="11" spans="1:4" ht="36.75" customHeight="1">
      <c r="A11" s="30"/>
      <c r="B11" s="33"/>
      <c r="C11" s="30"/>
      <c r="D11" s="30"/>
    </row>
    <row r="12" spans="1:4" ht="36.75" customHeight="1">
      <c r="A12" s="30"/>
      <c r="B12" s="33"/>
      <c r="C12" s="30"/>
      <c r="D12" s="30"/>
    </row>
    <row r="13" spans="1:4" ht="36.75" customHeight="1">
      <c r="A13" s="30"/>
      <c r="B13" s="33"/>
      <c r="C13" s="30"/>
      <c r="D13" s="30"/>
    </row>
    <row r="14" spans="1:4" ht="36.75" customHeight="1">
      <c r="A14" s="30"/>
      <c r="B14" s="33"/>
      <c r="C14" s="30"/>
      <c r="D14" s="30"/>
    </row>
    <row r="15" spans="1:4" ht="36.75" customHeight="1">
      <c r="A15" s="30"/>
      <c r="B15" s="33"/>
      <c r="C15" s="30"/>
      <c r="D15" s="30"/>
    </row>
    <row r="16" spans="1:4" ht="36.75" customHeight="1">
      <c r="A16" s="30"/>
      <c r="B16" s="33"/>
      <c r="C16" s="30"/>
      <c r="D16" s="30"/>
    </row>
    <row r="17" spans="1:4" ht="36.75" customHeight="1">
      <c r="A17" s="30"/>
      <c r="B17" s="33"/>
      <c r="C17" s="30"/>
      <c r="D17" s="30"/>
    </row>
    <row r="18" spans="1:4" ht="36.75" customHeight="1">
      <c r="A18" s="30"/>
      <c r="B18" s="33"/>
      <c r="C18" s="30"/>
      <c r="D18" s="30"/>
    </row>
    <row r="19" spans="1:4" ht="36.75" customHeight="1">
      <c r="A19" s="30"/>
      <c r="B19" s="33"/>
      <c r="C19" s="30"/>
      <c r="D19" s="30"/>
    </row>
    <row r="20" spans="1:4" ht="36.75" customHeight="1">
      <c r="A20" s="30"/>
      <c r="B20" s="33"/>
      <c r="C20" s="30"/>
      <c r="D20" s="30"/>
    </row>
    <row r="21" spans="1:4" ht="36.75" customHeight="1">
      <c r="A21" s="30"/>
      <c r="B21" s="33"/>
      <c r="C21" s="30"/>
      <c r="D21" s="30"/>
    </row>
    <row r="22" spans="1:4" ht="36.75" customHeight="1">
      <c r="A22" s="30"/>
      <c r="B22" s="33"/>
      <c r="C22" s="30"/>
      <c r="D22" s="30"/>
    </row>
    <row r="23" spans="1:4" ht="36.75" customHeight="1">
      <c r="A23" s="30"/>
      <c r="B23" s="33"/>
      <c r="C23" s="30"/>
      <c r="D23" s="30"/>
    </row>
    <row r="24" spans="1:4" ht="36.75" customHeight="1">
      <c r="A24" s="30"/>
      <c r="B24" s="33"/>
      <c r="C24" s="30"/>
      <c r="D24" s="30"/>
    </row>
    <row r="25" spans="1:4" ht="36.75" customHeight="1">
      <c r="A25" s="30"/>
      <c r="B25" s="33"/>
      <c r="C25" s="30"/>
      <c r="D25" s="30"/>
    </row>
    <row r="26" spans="1:4" ht="36.75" customHeight="1">
      <c r="A26" s="30"/>
      <c r="B26" s="33"/>
      <c r="C26" s="30"/>
      <c r="D26" s="30"/>
    </row>
    <row r="27" spans="1:4" ht="36.75" customHeight="1">
      <c r="A27" s="30"/>
      <c r="B27" s="33"/>
      <c r="C27" s="30"/>
      <c r="D27" s="30"/>
    </row>
    <row r="28" spans="1:4" ht="36.75" customHeight="1">
      <c r="A28" s="30"/>
      <c r="B28" s="33"/>
      <c r="C28" s="30"/>
      <c r="D28" s="30"/>
    </row>
    <row r="29" spans="1:4" ht="36.75" customHeight="1">
      <c r="A29" s="30"/>
      <c r="B29" s="33"/>
      <c r="C29" s="30"/>
      <c r="D29" s="30"/>
    </row>
    <row r="30" spans="1:4" ht="36.75" customHeight="1">
      <c r="A30" s="30"/>
      <c r="B30" s="33"/>
      <c r="C30" s="30"/>
      <c r="D30" s="30"/>
    </row>
    <row r="31" spans="1:4" ht="36.75" customHeight="1">
      <c r="A31" s="30"/>
      <c r="B31" s="33"/>
      <c r="C31" s="30"/>
      <c r="D31" s="30"/>
    </row>
    <row r="32" spans="1:4" ht="36.75" customHeight="1">
      <c r="A32" s="30"/>
      <c r="B32" s="33"/>
      <c r="C32" s="30"/>
      <c r="D32" s="30"/>
    </row>
    <row r="33" ht="36.75" customHeight="1"/>
    <row r="34" ht="36.75" customHeight="1"/>
  </sheetData>
  <phoneticPr fontId="1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5"/>
  <sheetViews>
    <sheetView topLeftCell="E121" workbookViewId="0">
      <selection activeCell="D178" sqref="D178"/>
    </sheetView>
  </sheetViews>
  <sheetFormatPr defaultRowHeight="15.6"/>
  <cols>
    <col min="1" max="1" width="10.5" style="29" hidden="1" customWidth="1"/>
    <col min="2" max="2" width="14.09765625" style="29" hidden="1" customWidth="1"/>
    <col min="3" max="3" width="12.09765625" style="29" hidden="1" customWidth="1"/>
    <col min="4" max="4" width="18.09765625" style="29" hidden="1" customWidth="1"/>
    <col min="5" max="7" width="18.09765625" style="29" customWidth="1"/>
    <col min="8" max="8" width="6.3984375" style="78" customWidth="1"/>
    <col min="9" max="12" width="13.8984375" customWidth="1"/>
    <col min="13" max="13" width="13.8984375" bestFit="1" customWidth="1" collapsed="1"/>
    <col min="14" max="16" width="13.8984375" bestFit="1" customWidth="1"/>
    <col min="17" max="17" width="11.59765625" customWidth="1"/>
    <col min="18" max="20" width="8.5" bestFit="1" customWidth="1"/>
    <col min="21" max="21" width="9.3984375" bestFit="1" customWidth="1"/>
    <col min="22" max="22" width="9.5" bestFit="1" customWidth="1"/>
    <col min="23" max="23" width="9.3984375" bestFit="1" customWidth="1"/>
    <col min="24" max="26" width="10.19921875" bestFit="1" customWidth="1"/>
    <col min="27" max="27" width="10.19921875" customWidth="1"/>
    <col min="28" max="30" width="8.5" bestFit="1" customWidth="1"/>
    <col min="31" max="32" width="9.5" bestFit="1" customWidth="1"/>
  </cols>
  <sheetData>
    <row r="1" spans="1:32" ht="24.75" customHeight="1">
      <c r="A1" s="167"/>
      <c r="B1" s="167"/>
      <c r="C1" s="187" t="s">
        <v>1</v>
      </c>
      <c r="D1" s="187"/>
      <c r="E1" s="41"/>
      <c r="F1" s="41"/>
      <c r="G1" s="41"/>
      <c r="H1" s="71"/>
      <c r="I1" s="30" t="s">
        <v>358</v>
      </c>
      <c r="J1" s="30" t="s">
        <v>359</v>
      </c>
      <c r="K1" s="30" t="s">
        <v>360</v>
      </c>
      <c r="L1" s="30" t="s">
        <v>361</v>
      </c>
      <c r="M1" s="30" t="s">
        <v>1077</v>
      </c>
      <c r="N1" s="30" t="s">
        <v>1079</v>
      </c>
      <c r="O1" s="30" t="s">
        <v>1081</v>
      </c>
      <c r="P1" s="30" t="s">
        <v>1080</v>
      </c>
      <c r="Q1" s="30" t="s">
        <v>362</v>
      </c>
      <c r="R1" s="30" t="s">
        <v>363</v>
      </c>
      <c r="S1" s="30" t="s">
        <v>892</v>
      </c>
      <c r="T1" s="30" t="s">
        <v>910</v>
      </c>
      <c r="U1" s="30" t="s">
        <v>364</v>
      </c>
      <c r="V1" s="30" t="s">
        <v>365</v>
      </c>
      <c r="W1" s="30" t="s">
        <v>366</v>
      </c>
      <c r="X1" s="31" t="s">
        <v>367</v>
      </c>
      <c r="Y1" s="31" t="s">
        <v>368</v>
      </c>
      <c r="Z1" s="31" t="s">
        <v>369</v>
      </c>
      <c r="AA1" s="31" t="s">
        <v>370</v>
      </c>
      <c r="AB1" s="30" t="s">
        <v>371</v>
      </c>
      <c r="AC1" s="30" t="s">
        <v>372</v>
      </c>
      <c r="AD1" s="30" t="s">
        <v>373</v>
      </c>
      <c r="AE1" s="30" t="s">
        <v>1060</v>
      </c>
      <c r="AF1" s="30" t="s">
        <v>1066</v>
      </c>
    </row>
    <row r="2" spans="1:32">
      <c r="A2" s="191" t="s">
        <v>234</v>
      </c>
      <c r="B2" s="192"/>
      <c r="C2" s="192"/>
      <c r="D2" s="193"/>
      <c r="E2" s="42" t="s">
        <v>1082</v>
      </c>
      <c r="F2" s="42" t="s">
        <v>1083</v>
      </c>
      <c r="G2" s="42" t="s">
        <v>1084</v>
      </c>
      <c r="H2" s="72"/>
      <c r="I2" s="55" t="s">
        <v>5</v>
      </c>
      <c r="J2" s="55" t="s">
        <v>18</v>
      </c>
      <c r="K2" s="13" t="s">
        <v>35</v>
      </c>
      <c r="L2" s="43" t="s">
        <v>43</v>
      </c>
      <c r="M2" s="62" t="s">
        <v>793</v>
      </c>
      <c r="N2" s="62" t="s">
        <v>811</v>
      </c>
      <c r="O2" s="44" t="s">
        <v>829</v>
      </c>
      <c r="P2" s="44" t="s">
        <v>847</v>
      </c>
      <c r="Q2" s="55" t="s">
        <v>105</v>
      </c>
      <c r="R2" s="43" t="s">
        <v>878</v>
      </c>
      <c r="S2" s="62" t="s">
        <v>893</v>
      </c>
      <c r="T2" s="62" t="s">
        <v>911</v>
      </c>
      <c r="U2" s="62" t="s">
        <v>918</v>
      </c>
      <c r="V2" s="62" t="s">
        <v>926</v>
      </c>
      <c r="W2" s="62" t="s">
        <v>950</v>
      </c>
      <c r="X2" s="62" t="s">
        <v>168</v>
      </c>
      <c r="Y2" s="62" t="s">
        <v>180</v>
      </c>
      <c r="Z2" s="62" t="s">
        <v>192</v>
      </c>
      <c r="AA2" s="62" t="s">
        <v>203</v>
      </c>
      <c r="AB2" s="62" t="s">
        <v>1007</v>
      </c>
      <c r="AC2" s="62" t="s">
        <v>1015</v>
      </c>
      <c r="AD2" s="62" t="s">
        <v>225</v>
      </c>
      <c r="AE2" s="55" t="s">
        <v>1061</v>
      </c>
      <c r="AF2" s="55" t="s">
        <v>1067</v>
      </c>
    </row>
    <row r="3" spans="1:32">
      <c r="A3" s="6" t="s">
        <v>235</v>
      </c>
      <c r="B3" s="7" t="s">
        <v>2</v>
      </c>
      <c r="C3" s="6" t="s">
        <v>3</v>
      </c>
      <c r="D3" s="6" t="s">
        <v>236</v>
      </c>
      <c r="E3" s="69" t="s">
        <v>4</v>
      </c>
      <c r="F3" s="55" t="s">
        <v>5</v>
      </c>
      <c r="G3" s="55" t="s">
        <v>237</v>
      </c>
      <c r="H3" s="73"/>
      <c r="I3" s="55" t="s">
        <v>6</v>
      </c>
      <c r="J3" s="55" t="s">
        <v>17</v>
      </c>
      <c r="K3" s="13" t="s">
        <v>36</v>
      </c>
      <c r="L3" s="43" t="s">
        <v>42</v>
      </c>
      <c r="M3" s="62" t="s">
        <v>795</v>
      </c>
      <c r="N3" s="62" t="s">
        <v>813</v>
      </c>
      <c r="O3" s="44" t="s">
        <v>832</v>
      </c>
      <c r="P3" s="44" t="s">
        <v>848</v>
      </c>
      <c r="Q3" s="44" t="s">
        <v>106</v>
      </c>
      <c r="R3" s="43" t="s">
        <v>880</v>
      </c>
      <c r="S3" s="62" t="s">
        <v>896</v>
      </c>
      <c r="T3" s="62" t="s">
        <v>912</v>
      </c>
      <c r="U3" s="62" t="s">
        <v>920</v>
      </c>
      <c r="V3" s="62" t="s">
        <v>930</v>
      </c>
      <c r="W3" s="62" t="s">
        <v>952</v>
      </c>
      <c r="X3" s="62" t="s">
        <v>170</v>
      </c>
      <c r="Y3" s="62" t="s">
        <v>182</v>
      </c>
      <c r="Z3" s="62" t="s">
        <v>194</v>
      </c>
      <c r="AA3" s="62" t="s">
        <v>204</v>
      </c>
      <c r="AB3" s="62" t="s">
        <v>1011</v>
      </c>
      <c r="AC3" s="62" t="s">
        <v>215</v>
      </c>
      <c r="AD3" s="62" t="s">
        <v>226</v>
      </c>
      <c r="AE3" s="55" t="s">
        <v>1064</v>
      </c>
      <c r="AF3" s="55" t="s">
        <v>1070</v>
      </c>
    </row>
    <row r="4" spans="1:32">
      <c r="A4" s="8">
        <v>1</v>
      </c>
      <c r="B4" s="9" t="s">
        <v>4</v>
      </c>
      <c r="C4" s="10" t="s">
        <v>5</v>
      </c>
      <c r="D4" s="10" t="s">
        <v>237</v>
      </c>
      <c r="E4" s="69" t="str">
        <f t="shared" ref="E4:E9" si="0">E3</f>
        <v>前地板分装线</v>
      </c>
      <c r="F4" s="55" t="s">
        <v>6</v>
      </c>
      <c r="G4" s="55" t="s">
        <v>238</v>
      </c>
      <c r="H4" s="74"/>
      <c r="I4" s="55" t="s">
        <v>7</v>
      </c>
      <c r="J4" s="55" t="s">
        <v>16</v>
      </c>
      <c r="K4" s="13" t="s">
        <v>37</v>
      </c>
      <c r="L4" s="43" t="s">
        <v>41</v>
      </c>
      <c r="M4" s="62" t="s">
        <v>797</v>
      </c>
      <c r="N4" s="62" t="s">
        <v>817</v>
      </c>
      <c r="O4" s="44" t="s">
        <v>834</v>
      </c>
      <c r="P4" s="44" t="s">
        <v>849</v>
      </c>
      <c r="Q4" s="44" t="s">
        <v>107</v>
      </c>
      <c r="R4" s="43" t="s">
        <v>882</v>
      </c>
      <c r="S4" s="62" t="s">
        <v>898</v>
      </c>
      <c r="T4" s="62" t="s">
        <v>913</v>
      </c>
      <c r="U4" s="62" t="s">
        <v>922</v>
      </c>
      <c r="V4" s="62" t="s">
        <v>932</v>
      </c>
      <c r="W4" s="62" t="s">
        <v>954</v>
      </c>
      <c r="X4" s="62" t="s">
        <v>172</v>
      </c>
      <c r="Y4" s="62" t="s">
        <v>184</v>
      </c>
      <c r="Z4" s="62" t="s">
        <v>196</v>
      </c>
      <c r="AA4" s="62" t="s">
        <v>205</v>
      </c>
      <c r="AB4" s="31"/>
      <c r="AC4" s="62" t="s">
        <v>216</v>
      </c>
      <c r="AD4" s="62" t="s">
        <v>227</v>
      </c>
      <c r="AE4" s="30"/>
      <c r="AF4" s="55" t="s">
        <v>1072</v>
      </c>
    </row>
    <row r="5" spans="1:32">
      <c r="A5" s="8">
        <v>2</v>
      </c>
      <c r="B5" s="9" t="s">
        <v>4</v>
      </c>
      <c r="C5" s="10" t="s">
        <v>6</v>
      </c>
      <c r="D5" s="10" t="s">
        <v>238</v>
      </c>
      <c r="E5" s="69" t="str">
        <f t="shared" si="0"/>
        <v>前地板分装线</v>
      </c>
      <c r="F5" s="55" t="s">
        <v>7</v>
      </c>
      <c r="G5" s="55" t="s">
        <v>239</v>
      </c>
      <c r="H5" s="74"/>
      <c r="I5" s="55" t="s">
        <v>8</v>
      </c>
      <c r="J5" s="55" t="s">
        <v>15</v>
      </c>
      <c r="K5" s="13" t="s">
        <v>38</v>
      </c>
      <c r="L5" s="43" t="s">
        <v>40</v>
      </c>
      <c r="M5" s="62" t="s">
        <v>798</v>
      </c>
      <c r="N5" s="62" t="s">
        <v>819</v>
      </c>
      <c r="O5" s="44" t="s">
        <v>836</v>
      </c>
      <c r="P5" s="44" t="s">
        <v>850</v>
      </c>
      <c r="Q5" s="44" t="s">
        <v>108</v>
      </c>
      <c r="R5" s="43" t="s">
        <v>884</v>
      </c>
      <c r="S5" s="62" t="s">
        <v>900</v>
      </c>
      <c r="T5" s="62" t="s">
        <v>914</v>
      </c>
      <c r="U5" s="31"/>
      <c r="V5" s="62" t="s">
        <v>934</v>
      </c>
      <c r="W5" s="62" t="s">
        <v>956</v>
      </c>
      <c r="X5" s="62" t="s">
        <v>174</v>
      </c>
      <c r="Y5" s="62" t="s">
        <v>186</v>
      </c>
      <c r="Z5" s="62" t="s">
        <v>198</v>
      </c>
      <c r="AA5" s="62" t="s">
        <v>206</v>
      </c>
      <c r="AB5" s="31"/>
      <c r="AC5" s="62" t="s">
        <v>217</v>
      </c>
      <c r="AD5" s="62" t="s">
        <v>228</v>
      </c>
      <c r="AE5" s="30"/>
      <c r="AF5" s="55" t="s">
        <v>1074</v>
      </c>
    </row>
    <row r="6" spans="1:32">
      <c r="A6" s="8">
        <v>3</v>
      </c>
      <c r="B6" s="9" t="s">
        <v>4</v>
      </c>
      <c r="C6" s="10" t="s">
        <v>7</v>
      </c>
      <c r="D6" s="10" t="s">
        <v>239</v>
      </c>
      <c r="E6" s="69" t="str">
        <f t="shared" si="0"/>
        <v>前地板分装线</v>
      </c>
      <c r="F6" s="55" t="s">
        <v>8</v>
      </c>
      <c r="G6" s="55" t="s">
        <v>240</v>
      </c>
      <c r="H6" s="74"/>
      <c r="I6" s="55" t="s">
        <v>9</v>
      </c>
      <c r="J6" s="55" t="s">
        <v>14</v>
      </c>
      <c r="K6" s="13" t="s">
        <v>33</v>
      </c>
      <c r="L6" s="43" t="s">
        <v>47</v>
      </c>
      <c r="M6" s="62" t="s">
        <v>800</v>
      </c>
      <c r="N6" s="62" t="s">
        <v>821</v>
      </c>
      <c r="O6" s="44" t="s">
        <v>838</v>
      </c>
      <c r="P6" s="44" t="s">
        <v>852</v>
      </c>
      <c r="Q6" s="44" t="s">
        <v>109</v>
      </c>
      <c r="R6" s="43" t="s">
        <v>886</v>
      </c>
      <c r="S6" s="62" t="s">
        <v>902</v>
      </c>
      <c r="T6" s="62" t="s">
        <v>915</v>
      </c>
      <c r="U6" s="31"/>
      <c r="V6" s="62" t="s">
        <v>936</v>
      </c>
      <c r="W6" s="62" t="s">
        <v>958</v>
      </c>
      <c r="X6" s="62" t="s">
        <v>176</v>
      </c>
      <c r="Y6" s="62" t="s">
        <v>188</v>
      </c>
      <c r="Z6" s="62" t="s">
        <v>199</v>
      </c>
      <c r="AA6" s="62" t="s">
        <v>207</v>
      </c>
      <c r="AB6" s="31"/>
      <c r="AC6" s="62" t="s">
        <v>218</v>
      </c>
      <c r="AD6" s="62" t="s">
        <v>229</v>
      </c>
      <c r="AE6" s="30"/>
      <c r="AF6" s="30"/>
    </row>
    <row r="7" spans="1:32">
      <c r="A7" s="8">
        <v>4</v>
      </c>
      <c r="B7" s="9" t="s">
        <v>4</v>
      </c>
      <c r="C7" s="10" t="s">
        <v>8</v>
      </c>
      <c r="D7" s="10" t="s">
        <v>240</v>
      </c>
      <c r="E7" s="69" t="str">
        <f t="shared" si="0"/>
        <v>前地板分装线</v>
      </c>
      <c r="F7" s="55" t="s">
        <v>9</v>
      </c>
      <c r="G7" s="55" t="s">
        <v>241</v>
      </c>
      <c r="H7" s="74"/>
      <c r="I7" s="55" t="s">
        <v>10</v>
      </c>
      <c r="J7" s="55" t="s">
        <v>13</v>
      </c>
      <c r="K7" s="13" t="s">
        <v>31</v>
      </c>
      <c r="L7" s="43" t="s">
        <v>46</v>
      </c>
      <c r="M7" s="62" t="s">
        <v>802</v>
      </c>
      <c r="N7" s="62" t="s">
        <v>822</v>
      </c>
      <c r="O7" s="44" t="s">
        <v>840</v>
      </c>
      <c r="P7" s="44" t="s">
        <v>853</v>
      </c>
      <c r="Q7" s="44" t="s">
        <v>110</v>
      </c>
      <c r="R7" s="43" t="s">
        <v>888</v>
      </c>
      <c r="S7" s="62" t="s">
        <v>903</v>
      </c>
      <c r="T7" s="62" t="s">
        <v>916</v>
      </c>
      <c r="U7" s="31"/>
      <c r="V7" s="62" t="s">
        <v>938</v>
      </c>
      <c r="W7" s="31"/>
      <c r="X7" s="62" t="s">
        <v>177</v>
      </c>
      <c r="Y7" s="62" t="s">
        <v>189</v>
      </c>
      <c r="Z7" s="62" t="s">
        <v>200</v>
      </c>
      <c r="AA7" s="62" t="s">
        <v>208</v>
      </c>
      <c r="AB7" s="31"/>
      <c r="AC7" s="62" t="s">
        <v>219</v>
      </c>
      <c r="AD7" s="62" t="s">
        <v>230</v>
      </c>
      <c r="AE7" s="30"/>
      <c r="AF7" s="30"/>
    </row>
    <row r="8" spans="1:32">
      <c r="A8" s="8">
        <v>5</v>
      </c>
      <c r="B8" s="9" t="s">
        <v>4</v>
      </c>
      <c r="C8" s="10" t="s">
        <v>9</v>
      </c>
      <c r="D8" s="10" t="s">
        <v>241</v>
      </c>
      <c r="E8" s="69" t="str">
        <f t="shared" si="0"/>
        <v>前地板分装线</v>
      </c>
      <c r="F8" s="55" t="s">
        <v>10</v>
      </c>
      <c r="G8" s="55" t="s">
        <v>242</v>
      </c>
      <c r="H8" s="74"/>
      <c r="I8" s="55" t="s">
        <v>11</v>
      </c>
      <c r="J8" s="55" t="s">
        <v>19</v>
      </c>
      <c r="K8" s="43" t="s">
        <v>29</v>
      </c>
      <c r="L8" s="43" t="s">
        <v>45</v>
      </c>
      <c r="M8" s="62" t="s">
        <v>803</v>
      </c>
      <c r="N8" s="62" t="s">
        <v>823</v>
      </c>
      <c r="O8" s="44" t="s">
        <v>843</v>
      </c>
      <c r="P8" s="44" t="s">
        <v>854</v>
      </c>
      <c r="Q8" s="44" t="s">
        <v>111</v>
      </c>
      <c r="R8" s="43" t="s">
        <v>889</v>
      </c>
      <c r="S8" s="62" t="s">
        <v>905</v>
      </c>
      <c r="T8" s="31"/>
      <c r="U8" s="31"/>
      <c r="V8" s="62" t="s">
        <v>940</v>
      </c>
      <c r="W8" s="31"/>
      <c r="X8" s="62" t="s">
        <v>178</v>
      </c>
      <c r="Y8" s="62" t="s">
        <v>190</v>
      </c>
      <c r="Z8" s="62" t="s">
        <v>201</v>
      </c>
      <c r="AA8" s="62" t="s">
        <v>209</v>
      </c>
      <c r="AB8" s="31"/>
      <c r="AC8" s="62" t="s">
        <v>220</v>
      </c>
      <c r="AD8" s="62" t="s">
        <v>231</v>
      </c>
      <c r="AE8" s="30"/>
      <c r="AF8" s="30"/>
    </row>
    <row r="9" spans="1:32">
      <c r="A9" s="8">
        <v>6</v>
      </c>
      <c r="B9" s="9" t="s">
        <v>4</v>
      </c>
      <c r="C9" s="10" t="s">
        <v>10</v>
      </c>
      <c r="D9" s="10" t="s">
        <v>242</v>
      </c>
      <c r="E9" s="69" t="str">
        <f t="shared" si="0"/>
        <v>前地板分装线</v>
      </c>
      <c r="F9" s="55" t="s">
        <v>11</v>
      </c>
      <c r="G9" s="55" t="s">
        <v>243</v>
      </c>
      <c r="H9" s="74"/>
      <c r="I9" s="31"/>
      <c r="J9" s="55" t="s">
        <v>20</v>
      </c>
      <c r="K9" s="43" t="s">
        <v>28</v>
      </c>
      <c r="L9" s="43" t="s">
        <v>44</v>
      </c>
      <c r="M9" s="62" t="s">
        <v>804</v>
      </c>
      <c r="N9" s="62" t="s">
        <v>824</v>
      </c>
      <c r="O9" s="44" t="s">
        <v>844</v>
      </c>
      <c r="P9" s="44" t="s">
        <v>855</v>
      </c>
      <c r="Q9" s="44" t="s">
        <v>112</v>
      </c>
      <c r="R9" s="43" t="s">
        <v>890</v>
      </c>
      <c r="S9" s="62" t="s">
        <v>906</v>
      </c>
      <c r="T9" s="31"/>
      <c r="U9" s="31"/>
      <c r="V9" s="62" t="s">
        <v>942</v>
      </c>
      <c r="W9" s="31"/>
      <c r="X9" s="31"/>
      <c r="Y9" s="31"/>
      <c r="Z9" s="31"/>
      <c r="AA9" s="31"/>
      <c r="AB9" s="31"/>
      <c r="AC9" s="62" t="s">
        <v>221</v>
      </c>
      <c r="AD9" s="62" t="s">
        <v>232</v>
      </c>
      <c r="AE9" s="30"/>
      <c r="AF9" s="30"/>
    </row>
    <row r="10" spans="1:32">
      <c r="A10" s="8">
        <v>7</v>
      </c>
      <c r="B10" s="9" t="s">
        <v>4</v>
      </c>
      <c r="C10" s="10" t="s">
        <v>11</v>
      </c>
      <c r="D10" s="10" t="s">
        <v>243</v>
      </c>
      <c r="E10" s="69" t="s">
        <v>753</v>
      </c>
      <c r="F10" s="55" t="s">
        <v>18</v>
      </c>
      <c r="G10" s="55" t="s">
        <v>250</v>
      </c>
      <c r="H10" s="74"/>
      <c r="I10" s="31"/>
      <c r="J10" s="31"/>
      <c r="K10" s="43" t="s">
        <v>27</v>
      </c>
      <c r="L10" s="31"/>
      <c r="M10" s="62" t="s">
        <v>805</v>
      </c>
      <c r="N10" s="62" t="s">
        <v>825</v>
      </c>
      <c r="O10" s="44" t="s">
        <v>845</v>
      </c>
      <c r="P10" s="44" t="s">
        <v>856</v>
      </c>
      <c r="Q10" s="31"/>
      <c r="R10" s="31"/>
      <c r="S10" s="62" t="s">
        <v>907</v>
      </c>
      <c r="T10" s="31"/>
      <c r="U10" s="31"/>
      <c r="V10" s="62" t="s">
        <v>944</v>
      </c>
      <c r="W10" s="31"/>
      <c r="X10" s="31"/>
      <c r="Y10" s="31"/>
      <c r="Z10" s="31"/>
      <c r="AA10" s="31"/>
      <c r="AB10" s="31"/>
      <c r="AC10" s="62" t="s">
        <v>222</v>
      </c>
      <c r="AD10" s="31"/>
      <c r="AE10" s="30"/>
      <c r="AF10" s="30"/>
    </row>
    <row r="11" spans="1:32">
      <c r="A11" s="8">
        <v>8</v>
      </c>
      <c r="B11" s="12" t="s">
        <v>12</v>
      </c>
      <c r="C11" s="10" t="s">
        <v>13</v>
      </c>
      <c r="D11" s="10" t="s">
        <v>244</v>
      </c>
      <c r="E11" s="69" t="str">
        <f t="shared" ref="E11:E17" si="1">E10</f>
        <v>前围板分装线</v>
      </c>
      <c r="F11" s="55" t="s">
        <v>17</v>
      </c>
      <c r="G11" s="55" t="s">
        <v>248</v>
      </c>
      <c r="H11" s="74"/>
      <c r="I11" s="31"/>
      <c r="J11" s="31"/>
      <c r="K11" s="43" t="s">
        <v>26</v>
      </c>
      <c r="L11" s="31"/>
      <c r="M11" s="62" t="s">
        <v>807</v>
      </c>
      <c r="N11" s="62" t="s">
        <v>826</v>
      </c>
      <c r="O11" s="62"/>
      <c r="P11" s="31"/>
      <c r="Q11" s="31"/>
      <c r="R11" s="31"/>
      <c r="S11" s="62" t="s">
        <v>908</v>
      </c>
      <c r="T11" s="31"/>
      <c r="U11" s="31"/>
      <c r="V11" s="62" t="s">
        <v>946</v>
      </c>
      <c r="W11" s="31"/>
      <c r="X11" s="31"/>
      <c r="Y11" s="31"/>
      <c r="Z11" s="31"/>
      <c r="AA11" s="31"/>
      <c r="AB11" s="31"/>
      <c r="AC11" s="62" t="s">
        <v>223</v>
      </c>
      <c r="AD11" s="31"/>
      <c r="AE11" s="30"/>
      <c r="AF11" s="30"/>
    </row>
    <row r="12" spans="1:32">
      <c r="A12" s="8">
        <v>9</v>
      </c>
      <c r="B12" s="12" t="s">
        <v>12</v>
      </c>
      <c r="C12" s="10" t="s">
        <v>14</v>
      </c>
      <c r="D12" s="10" t="s">
        <v>245</v>
      </c>
      <c r="E12" s="69" t="str">
        <f t="shared" si="1"/>
        <v>前围板分装线</v>
      </c>
      <c r="F12" s="55" t="s">
        <v>16</v>
      </c>
      <c r="G12" s="55" t="s">
        <v>247</v>
      </c>
      <c r="H12" s="74"/>
      <c r="I12" s="31"/>
      <c r="J12" s="31"/>
      <c r="K12" s="55" t="s">
        <v>25</v>
      </c>
      <c r="L12" s="31"/>
      <c r="M12" s="62" t="s">
        <v>809</v>
      </c>
      <c r="N12" s="62" t="s">
        <v>827</v>
      </c>
      <c r="O12" s="62"/>
      <c r="P12" s="31"/>
      <c r="Q12" s="31"/>
      <c r="R12" s="31"/>
      <c r="S12" s="62" t="s">
        <v>909</v>
      </c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0"/>
      <c r="AF12" s="30"/>
    </row>
    <row r="13" spans="1:32">
      <c r="A13" s="8">
        <v>10</v>
      </c>
      <c r="B13" s="12" t="s">
        <v>12</v>
      </c>
      <c r="C13" s="10" t="s">
        <v>15</v>
      </c>
      <c r="D13" s="10" t="s">
        <v>246</v>
      </c>
      <c r="E13" s="69" t="str">
        <f t="shared" si="1"/>
        <v>前围板分装线</v>
      </c>
      <c r="F13" s="55" t="s">
        <v>15</v>
      </c>
      <c r="G13" s="55" t="s">
        <v>246</v>
      </c>
      <c r="H13" s="74"/>
      <c r="I13" s="31"/>
      <c r="J13" s="31"/>
      <c r="K13" s="55" t="s">
        <v>24</v>
      </c>
      <c r="L13" s="31"/>
      <c r="M13" s="31"/>
      <c r="N13" s="31"/>
      <c r="O13" s="62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0"/>
      <c r="AF13" s="30"/>
    </row>
    <row r="14" spans="1:32">
      <c r="A14" s="8">
        <v>11</v>
      </c>
      <c r="B14" s="12" t="s">
        <v>12</v>
      </c>
      <c r="C14" s="10" t="s">
        <v>16</v>
      </c>
      <c r="D14" s="10" t="s">
        <v>247</v>
      </c>
      <c r="E14" s="69" t="str">
        <f t="shared" si="1"/>
        <v>前围板分装线</v>
      </c>
      <c r="F14" s="55" t="s">
        <v>14</v>
      </c>
      <c r="G14" s="55" t="s">
        <v>245</v>
      </c>
      <c r="H14" s="74"/>
      <c r="I14" s="31"/>
      <c r="J14" s="31"/>
      <c r="K14" s="55" t="s">
        <v>23</v>
      </c>
      <c r="L14" s="31"/>
      <c r="M14" s="31"/>
      <c r="N14" s="31"/>
      <c r="O14" s="62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0"/>
      <c r="AF14" s="30"/>
    </row>
    <row r="15" spans="1:32">
      <c r="A15" s="8">
        <v>12</v>
      </c>
      <c r="B15" s="12" t="s">
        <v>12</v>
      </c>
      <c r="C15" s="10" t="s">
        <v>17</v>
      </c>
      <c r="D15" s="10" t="s">
        <v>248</v>
      </c>
      <c r="E15" s="69" t="str">
        <f t="shared" si="1"/>
        <v>前围板分装线</v>
      </c>
      <c r="F15" s="55" t="s">
        <v>13</v>
      </c>
      <c r="G15" s="55" t="s">
        <v>244</v>
      </c>
      <c r="H15" s="74"/>
      <c r="I15" s="31"/>
      <c r="J15" s="31"/>
      <c r="K15" s="55" t="s">
        <v>22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0"/>
      <c r="AF15" s="30"/>
    </row>
    <row r="16" spans="1:32">
      <c r="A16" s="8">
        <v>13</v>
      </c>
      <c r="B16" s="12" t="s">
        <v>12</v>
      </c>
      <c r="C16" s="10" t="s">
        <v>18</v>
      </c>
      <c r="D16" s="10" t="s">
        <v>250</v>
      </c>
      <c r="E16" s="69" t="str">
        <f t="shared" si="1"/>
        <v>前围板分装线</v>
      </c>
      <c r="F16" s="55" t="s">
        <v>19</v>
      </c>
      <c r="G16" s="55" t="s">
        <v>251</v>
      </c>
      <c r="H16" s="74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0"/>
      <c r="AF16" s="30"/>
    </row>
    <row r="17" spans="1:32">
      <c r="A17" s="8">
        <v>14</v>
      </c>
      <c r="B17" s="12" t="s">
        <v>12</v>
      </c>
      <c r="C17" s="10" t="s">
        <v>19</v>
      </c>
      <c r="D17" s="10" t="s">
        <v>251</v>
      </c>
      <c r="E17" s="69" t="str">
        <f t="shared" si="1"/>
        <v>前围板分装线</v>
      </c>
      <c r="F17" s="55" t="s">
        <v>20</v>
      </c>
      <c r="G17" s="55" t="s">
        <v>252</v>
      </c>
      <c r="H17" s="74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0"/>
      <c r="AF17" s="30"/>
    </row>
    <row r="18" spans="1:32">
      <c r="A18" s="8">
        <v>15</v>
      </c>
      <c r="B18" s="12" t="s">
        <v>12</v>
      </c>
      <c r="C18" s="10" t="s">
        <v>20</v>
      </c>
      <c r="D18" s="10" t="s">
        <v>252</v>
      </c>
      <c r="E18" s="69" t="s">
        <v>21</v>
      </c>
      <c r="F18" s="13" t="s">
        <v>35</v>
      </c>
      <c r="G18" s="55" t="s">
        <v>261</v>
      </c>
      <c r="H18" s="74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0"/>
      <c r="AF18" s="30"/>
    </row>
    <row r="19" spans="1:32">
      <c r="A19" s="8">
        <v>16</v>
      </c>
      <c r="B19" s="12" t="s">
        <v>21</v>
      </c>
      <c r="C19" s="10" t="s">
        <v>22</v>
      </c>
      <c r="D19" s="10" t="s">
        <v>253</v>
      </c>
      <c r="E19" s="69" t="str">
        <f t="shared" ref="E19:E31" si="2">E18</f>
        <v>后地板分装线</v>
      </c>
      <c r="F19" s="13" t="s">
        <v>36</v>
      </c>
      <c r="G19" s="55" t="s">
        <v>262</v>
      </c>
      <c r="H19" s="74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0"/>
      <c r="AF19" s="30"/>
    </row>
    <row r="20" spans="1:32" ht="16.2" thickBot="1">
      <c r="A20" s="8">
        <v>17</v>
      </c>
      <c r="B20" s="12" t="s">
        <v>21</v>
      </c>
      <c r="C20" s="10" t="s">
        <v>23</v>
      </c>
      <c r="D20" s="10" t="s">
        <v>254</v>
      </c>
      <c r="E20" s="69" t="str">
        <f t="shared" si="2"/>
        <v>后地板分装线</v>
      </c>
      <c r="F20" s="13" t="s">
        <v>37</v>
      </c>
      <c r="G20" s="55" t="s">
        <v>263</v>
      </c>
      <c r="H20" s="74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1"/>
      <c r="AF20" s="81"/>
    </row>
    <row r="21" spans="1:32">
      <c r="A21" s="8">
        <v>18</v>
      </c>
      <c r="B21" s="12" t="s">
        <v>21</v>
      </c>
      <c r="C21" s="10" t="s">
        <v>24</v>
      </c>
      <c r="D21" s="10" t="s">
        <v>255</v>
      </c>
      <c r="E21" s="69" t="str">
        <f t="shared" si="2"/>
        <v>后地板分装线</v>
      </c>
      <c r="F21" s="13" t="s">
        <v>38</v>
      </c>
      <c r="G21" s="55" t="s">
        <v>264</v>
      </c>
      <c r="H21" s="79"/>
      <c r="I21" s="83" t="str">
        <f t="array" ref="I21:I37">前地板分装线</f>
        <v>W1FF4-010</v>
      </c>
      <c r="J21" s="84" t="str">
        <f t="array" ref="J21:J39">前围板分装线</f>
        <v>W1DA4-010</v>
      </c>
      <c r="K21" s="84" t="str">
        <f t="array" ref="K21:K39">后地板分装线</f>
        <v>W1RR4-010L</v>
      </c>
      <c r="L21" s="84" t="str">
        <f t="array" ref="L21:L39">前纵梁分装线</f>
        <v>W1FU4-010R</v>
      </c>
      <c r="M21" s="84" t="str">
        <f t="array" ref="M21:M39">左侧围分装线</f>
        <v>W1BSI4-010L</v>
      </c>
      <c r="N21" s="84" t="str">
        <f t="array" ref="N21:N39">右侧围分装线</f>
        <v>W1BSI4-010R</v>
      </c>
      <c r="O21" s="84" t="str">
        <f t="array" ref="O21:O35">左侧围自动线</f>
        <v>W1BS1-010L</v>
      </c>
      <c r="P21" s="84" t="str">
        <f t="array" ref="P21:P38">右侧围自动线</f>
        <v>W1BS1-010R</v>
      </c>
      <c r="Q21" s="84" t="str">
        <f t="array" ref="Q21:Q38">机舱自动线</f>
        <v>W1ER3-010</v>
      </c>
      <c r="R21" s="84" t="str">
        <f t="array" ref="R21:R35">UB线</f>
        <v>W1UB-030</v>
      </c>
      <c r="S21" s="84" t="str">
        <f t="array" ref="S21:S34">MB1线</f>
        <v>W1MB-020</v>
      </c>
      <c r="T21" s="84" t="str">
        <f t="array" ref="T21:T36">MB2线</f>
        <v>W1MB-250</v>
      </c>
      <c r="U21" s="84" t="str">
        <f t="array" ref="U21:U35">顶盖</f>
        <v>W1RA3-010</v>
      </c>
      <c r="V21" s="84" t="str">
        <f t="array" ref="V21:V39">行李箱盖</f>
        <v>W1BD1-010</v>
      </c>
      <c r="W21" s="84" t="str">
        <f t="array" ref="W21:W31">发盖</f>
        <v>W1HD1-010</v>
      </c>
      <c r="X21" s="84" t="str">
        <f t="array" ref="X21:X35">左前门</f>
        <v>W1FD1-010L</v>
      </c>
      <c r="Y21" s="84" t="str">
        <f t="array" ref="Y21:Y34">右前门</f>
        <v>W1FD1-010R</v>
      </c>
      <c r="Z21" s="84" t="str">
        <f t="array" ref="Z21:Z32">左后门</f>
        <v>W1RD1-010L</v>
      </c>
      <c r="AA21" s="84" t="str">
        <f t="array" ref="AA21:AA38">右后门</f>
        <v>W1RD1-010R</v>
      </c>
      <c r="AB21" s="84" t="str">
        <f t="array" ref="AB21:AB34">CO2焊房</f>
        <v>W1FL-020</v>
      </c>
      <c r="AC21" s="84" t="str">
        <f t="array" ref="AC21:AC32">装调线</f>
        <v>W1FL-060</v>
      </c>
      <c r="AD21" s="84" t="str">
        <f t="array" ref="AD21:AD33">最终线</f>
        <v>W1FL-210</v>
      </c>
      <c r="AE21" s="85" t="str">
        <f t="array" ref="AE21:AE35">涂装外修</f>
        <v>W1WL-010</v>
      </c>
      <c r="AF21" s="86" t="str">
        <f t="array" ref="AF21:AF40">总装外修</f>
        <v>W1WL-030</v>
      </c>
    </row>
    <row r="22" spans="1:32">
      <c r="A22" s="8">
        <v>19</v>
      </c>
      <c r="B22" s="12" t="s">
        <v>21</v>
      </c>
      <c r="C22" s="10" t="s">
        <v>25</v>
      </c>
      <c r="D22" s="10" t="s">
        <v>256</v>
      </c>
      <c r="E22" s="69" t="str">
        <f t="shared" si="2"/>
        <v>后地板分装线</v>
      </c>
      <c r="F22" s="13" t="s">
        <v>33</v>
      </c>
      <c r="G22" s="55" t="s">
        <v>34</v>
      </c>
      <c r="H22" s="79"/>
      <c r="I22" s="87" t="str">
        <v>W1FF4-020</v>
      </c>
      <c r="J22" s="88" t="str">
        <v>W1DA4-020</v>
      </c>
      <c r="K22" s="88" t="str">
        <v>W1RR4-020L</v>
      </c>
      <c r="L22" s="88" t="str">
        <v>W1FU4-020R</v>
      </c>
      <c r="M22" s="88" t="str">
        <v>W1BSI4-020L</v>
      </c>
      <c r="N22" s="88" t="str">
        <v>W1BSI4-020R</v>
      </c>
      <c r="O22" s="88" t="str">
        <v>W1BS1-020L</v>
      </c>
      <c r="P22" s="88" t="str">
        <v>W1BS1-020R</v>
      </c>
      <c r="Q22" s="88" t="str">
        <v>W1ER3-020</v>
      </c>
      <c r="R22" s="88" t="str">
        <v>W1UB-040</v>
      </c>
      <c r="S22" s="88" t="str">
        <v>W1MB-030</v>
      </c>
      <c r="T22" s="88" t="str">
        <v>W1MB-260</v>
      </c>
      <c r="U22" s="88" t="str">
        <v>W1RA3-020</v>
      </c>
      <c r="V22" s="88" t="str">
        <v>W1BD1-020</v>
      </c>
      <c r="W22" s="88" t="str">
        <v>W1HD1-015</v>
      </c>
      <c r="X22" s="88" t="str">
        <v>W1FD1-020L</v>
      </c>
      <c r="Y22" s="88" t="str">
        <v>W1FD1-020R</v>
      </c>
      <c r="Z22" s="88" t="str">
        <v>W1RD1-015L</v>
      </c>
      <c r="AA22" s="88" t="str">
        <v>W1RD1-015R</v>
      </c>
      <c r="AB22" s="88" t="str">
        <v>W1FL-030</v>
      </c>
      <c r="AC22" s="88" t="str">
        <v>W1FL-070</v>
      </c>
      <c r="AD22" s="88" t="str">
        <v>W1FL-220</v>
      </c>
      <c r="AE22" s="89" t="str">
        <v>W1WL-020</v>
      </c>
      <c r="AF22" s="90" t="str">
        <v>W1WL-040</v>
      </c>
    </row>
    <row r="23" spans="1:32">
      <c r="A23" s="8">
        <v>20</v>
      </c>
      <c r="B23" s="12" t="s">
        <v>21</v>
      </c>
      <c r="C23" s="11" t="s">
        <v>26</v>
      </c>
      <c r="D23" s="10" t="s">
        <v>257</v>
      </c>
      <c r="E23" s="69" t="str">
        <f t="shared" si="2"/>
        <v>后地板分装线</v>
      </c>
      <c r="F23" s="13" t="s">
        <v>31</v>
      </c>
      <c r="G23" s="55" t="s">
        <v>32</v>
      </c>
      <c r="H23" s="79"/>
      <c r="I23" s="87" t="str">
        <v>W1FF4-030</v>
      </c>
      <c r="J23" s="88" t="str">
        <v>W1DA4-030</v>
      </c>
      <c r="K23" s="88" t="str">
        <v>W1RR4-010R</v>
      </c>
      <c r="L23" s="88" t="str">
        <v>W1FU4-030R</v>
      </c>
      <c r="M23" s="88" t="str">
        <v>W1BSI4-030L</v>
      </c>
      <c r="N23" s="88" t="str">
        <v>W1BSI4-030R</v>
      </c>
      <c r="O23" s="88" t="str">
        <v>W1BS1-030L</v>
      </c>
      <c r="P23" s="88" t="str">
        <v>W1BS1-030R</v>
      </c>
      <c r="Q23" s="88" t="str">
        <v>W1ER3-030</v>
      </c>
      <c r="R23" s="88" t="str">
        <v>W1UB-050</v>
      </c>
      <c r="S23" s="88" t="str">
        <v>W1MB-110</v>
      </c>
      <c r="T23" s="88" t="str">
        <v>W1MB-270</v>
      </c>
      <c r="U23" s="88" t="str">
        <v>W1RA3-030</v>
      </c>
      <c r="V23" s="88" t="str">
        <v>W1BD1-025</v>
      </c>
      <c r="W23" s="88" t="str">
        <v>W1HD1-020</v>
      </c>
      <c r="X23" s="88" t="str">
        <v>W1FD1-030L</v>
      </c>
      <c r="Y23" s="88" t="str">
        <v>W1FD1-030R</v>
      </c>
      <c r="Z23" s="88" t="str">
        <v>W1RD1-020L</v>
      </c>
      <c r="AA23" s="88" t="str">
        <v>W1RD1-020R</v>
      </c>
      <c r="AB23" s="88" t="e">
        <v>#N/A</v>
      </c>
      <c r="AC23" s="88" t="str">
        <v>W1FL-080</v>
      </c>
      <c r="AD23" s="88" t="str">
        <v>W1FL-230</v>
      </c>
      <c r="AE23" s="89" t="e">
        <v>#N/A</v>
      </c>
      <c r="AF23" s="90" t="str">
        <v>W1WL-050</v>
      </c>
    </row>
    <row r="24" spans="1:32">
      <c r="A24" s="8">
        <v>21</v>
      </c>
      <c r="B24" s="12" t="s">
        <v>21</v>
      </c>
      <c r="C24" s="11" t="s">
        <v>27</v>
      </c>
      <c r="D24" s="10" t="s">
        <v>258</v>
      </c>
      <c r="E24" s="69" t="str">
        <f t="shared" si="2"/>
        <v>后地板分装线</v>
      </c>
      <c r="F24" s="43" t="s">
        <v>29</v>
      </c>
      <c r="G24" s="55" t="s">
        <v>30</v>
      </c>
      <c r="H24" s="79"/>
      <c r="I24" s="87" t="str">
        <v>W1FF4-040</v>
      </c>
      <c r="J24" s="88" t="str">
        <v>W1DA4-040</v>
      </c>
      <c r="K24" s="88" t="str">
        <v>W1RR4-020R</v>
      </c>
      <c r="L24" s="88" t="str">
        <v>W1FU4-040R</v>
      </c>
      <c r="M24" s="88" t="str">
        <v>W1BSI4-040L</v>
      </c>
      <c r="N24" s="88" t="str">
        <v>W1BSI4-040R</v>
      </c>
      <c r="O24" s="88" t="str">
        <v>W1BS1-040L</v>
      </c>
      <c r="P24" s="88" t="str">
        <v>W1BS1-040R</v>
      </c>
      <c r="Q24" s="88" t="str">
        <v>W1ER3-040</v>
      </c>
      <c r="R24" s="88" t="str">
        <v>W1UB-060</v>
      </c>
      <c r="S24" s="88" t="str">
        <v>W1MB-120</v>
      </c>
      <c r="T24" s="88" t="str">
        <v>W1MB-280</v>
      </c>
      <c r="U24" s="88" t="e">
        <v>#N/A</v>
      </c>
      <c r="V24" s="88" t="str">
        <v>W1BD1-030</v>
      </c>
      <c r="W24" s="88" t="str">
        <v>W1HD1-030</v>
      </c>
      <c r="X24" s="88" t="str">
        <v>W1FD2-040L</v>
      </c>
      <c r="Y24" s="88" t="str">
        <v>W1FD2-040R</v>
      </c>
      <c r="Z24" s="88" t="str">
        <v>W1RD2-030L</v>
      </c>
      <c r="AA24" s="88" t="str">
        <v>W1RD2-030R</v>
      </c>
      <c r="AB24" s="88" t="e">
        <v>#N/A</v>
      </c>
      <c r="AC24" s="88" t="str">
        <v>W1FL-090</v>
      </c>
      <c r="AD24" s="88" t="str">
        <v>W1FL-240</v>
      </c>
      <c r="AE24" s="89" t="e">
        <v>#N/A</v>
      </c>
      <c r="AF24" s="90" t="str">
        <v>W1WL-060</v>
      </c>
    </row>
    <row r="25" spans="1:32">
      <c r="A25" s="8">
        <v>22</v>
      </c>
      <c r="B25" s="12" t="s">
        <v>21</v>
      </c>
      <c r="C25" s="11" t="s">
        <v>28</v>
      </c>
      <c r="D25" s="10" t="s">
        <v>259</v>
      </c>
      <c r="E25" s="69" t="str">
        <f t="shared" si="2"/>
        <v>后地板分装线</v>
      </c>
      <c r="F25" s="43" t="s">
        <v>28</v>
      </c>
      <c r="G25" s="55" t="s">
        <v>259</v>
      </c>
      <c r="H25" s="79"/>
      <c r="I25" s="87" t="str">
        <v>W1FF4-050</v>
      </c>
      <c r="J25" s="88" t="str">
        <v>W1DA4-050</v>
      </c>
      <c r="K25" s="88" t="str">
        <v>W1RF4-010</v>
      </c>
      <c r="L25" s="88" t="str">
        <v>W1FU4-010L</v>
      </c>
      <c r="M25" s="88" t="str">
        <v>W1BSI4-110L</v>
      </c>
      <c r="N25" s="88" t="str">
        <v>W1BSI4-110R</v>
      </c>
      <c r="O25" s="88" t="str">
        <v>W1BS1-050L</v>
      </c>
      <c r="P25" s="88" t="str">
        <v>W1BS1-050R</v>
      </c>
      <c r="Q25" s="88" t="str">
        <v>W1ER3-050</v>
      </c>
      <c r="R25" s="88" t="str">
        <v>W1UB-070</v>
      </c>
      <c r="S25" s="88" t="str">
        <v>W1MB-140</v>
      </c>
      <c r="T25" s="88" t="str">
        <v>W1MB-290</v>
      </c>
      <c r="U25" s="88" t="e">
        <v>#N/A</v>
      </c>
      <c r="V25" s="88" t="str">
        <v>W1BD1-035</v>
      </c>
      <c r="W25" s="88" t="str">
        <v>W1HD1-040</v>
      </c>
      <c r="X25" s="88" t="str">
        <v>W1FD2-050L</v>
      </c>
      <c r="Y25" s="88" t="str">
        <v>W1FD2-050R</v>
      </c>
      <c r="Z25" s="88" t="str">
        <v>W1RD2-040L</v>
      </c>
      <c r="AA25" s="88" t="str">
        <v>W1RD2-040R</v>
      </c>
      <c r="AB25" s="88" t="e">
        <v>#N/A</v>
      </c>
      <c r="AC25" s="88" t="str">
        <v>W1FL-100</v>
      </c>
      <c r="AD25" s="88" t="str">
        <v>W1FL-250</v>
      </c>
      <c r="AE25" s="89" t="e">
        <v>#N/A</v>
      </c>
      <c r="AF25" s="90" t="e">
        <v>#N/A</v>
      </c>
    </row>
    <row r="26" spans="1:32">
      <c r="A26" s="8">
        <v>23</v>
      </c>
      <c r="B26" s="12" t="s">
        <v>21</v>
      </c>
      <c r="C26" s="11" t="s">
        <v>29</v>
      </c>
      <c r="D26" s="10" t="s">
        <v>30</v>
      </c>
      <c r="E26" s="69" t="str">
        <f t="shared" si="2"/>
        <v>后地板分装线</v>
      </c>
      <c r="F26" s="43" t="s">
        <v>27</v>
      </c>
      <c r="G26" s="55" t="s">
        <v>258</v>
      </c>
      <c r="H26" s="79"/>
      <c r="I26" s="87" t="str">
        <v>W1FF4-060</v>
      </c>
      <c r="J26" s="88" t="str">
        <v>W1DA4-060</v>
      </c>
      <c r="K26" s="88" t="str">
        <v>W1RF4-020</v>
      </c>
      <c r="L26" s="88" t="str">
        <v>W1FU4-020L</v>
      </c>
      <c r="M26" s="88" t="str">
        <v>W1BSI4-050L</v>
      </c>
      <c r="N26" s="88" t="str">
        <v>W1BSI4-050R</v>
      </c>
      <c r="O26" s="88" t="str">
        <v>W1BS1-060L</v>
      </c>
      <c r="P26" s="88" t="str">
        <v>W1BS1-060R</v>
      </c>
      <c r="Q26" s="88" t="str">
        <v>W1ER3-060</v>
      </c>
      <c r="R26" s="88" t="str">
        <v>W1UB-080</v>
      </c>
      <c r="S26" s="88" t="str">
        <v>W1MB-160</v>
      </c>
      <c r="T26" s="88" t="str">
        <v>W1FL-010</v>
      </c>
      <c r="U26" s="88" t="e">
        <v>#N/A</v>
      </c>
      <c r="V26" s="88" t="str">
        <v>W1BD1-040</v>
      </c>
      <c r="W26" s="88" t="e">
        <v>#N/A</v>
      </c>
      <c r="X26" s="88" t="str">
        <v>W1FD2-060L</v>
      </c>
      <c r="Y26" s="88" t="str">
        <v>W1FD2-060R</v>
      </c>
      <c r="Z26" s="88" t="str">
        <v>W1RD2-050L</v>
      </c>
      <c r="AA26" s="88" t="str">
        <v>W1RD2-050R</v>
      </c>
      <c r="AB26" s="88" t="e">
        <v>#N/A</v>
      </c>
      <c r="AC26" s="88" t="str">
        <v>W1FL-110</v>
      </c>
      <c r="AD26" s="88" t="str">
        <v>W1FL-270</v>
      </c>
      <c r="AE26" s="89" t="e">
        <v>#N/A</v>
      </c>
      <c r="AF26" s="90" t="e">
        <v>#N/A</v>
      </c>
    </row>
    <row r="27" spans="1:32">
      <c r="A27" s="8">
        <v>24</v>
      </c>
      <c r="B27" s="12" t="s">
        <v>21</v>
      </c>
      <c r="C27" s="13" t="s">
        <v>31</v>
      </c>
      <c r="D27" s="10" t="s">
        <v>32</v>
      </c>
      <c r="E27" s="69" t="str">
        <f t="shared" si="2"/>
        <v>后地板分装线</v>
      </c>
      <c r="F27" s="43" t="s">
        <v>26</v>
      </c>
      <c r="G27" s="55" t="s">
        <v>257</v>
      </c>
      <c r="H27" s="79"/>
      <c r="I27" s="87" t="str">
        <v>W1FF4-070</v>
      </c>
      <c r="J27" s="88" t="str">
        <v>W1HP4-010</v>
      </c>
      <c r="K27" s="88" t="str">
        <v>W1RF4-030</v>
      </c>
      <c r="L27" s="88" t="str">
        <v>W1FU4-030L</v>
      </c>
      <c r="M27" s="88" t="str">
        <v>W1BSI4-060L</v>
      </c>
      <c r="N27" s="88" t="str">
        <v>W1BSI4-060R</v>
      </c>
      <c r="O27" s="88" t="str">
        <v>W1BS1-070L</v>
      </c>
      <c r="P27" s="88" t="str">
        <v>W1BS1-070R</v>
      </c>
      <c r="Q27" s="88" t="str">
        <v>W1ER3-070</v>
      </c>
      <c r="R27" s="88" t="str">
        <v>W1UB-090</v>
      </c>
      <c r="S27" s="88" t="str">
        <v>W1MB-180</v>
      </c>
      <c r="T27" s="88" t="e">
        <v>#N/A</v>
      </c>
      <c r="U27" s="88" t="e">
        <v>#N/A</v>
      </c>
      <c r="V27" s="88" t="str">
        <v>W1BD1-050</v>
      </c>
      <c r="W27" s="88" t="e">
        <v>#N/A</v>
      </c>
      <c r="X27" s="88" t="str">
        <v>W1FD2-070L</v>
      </c>
      <c r="Y27" s="88" t="str">
        <v>W1FD2-070R</v>
      </c>
      <c r="Z27" s="88" t="str">
        <v>W1RD2-060L</v>
      </c>
      <c r="AA27" s="88" t="str">
        <v>W1RD2-060R</v>
      </c>
      <c r="AB27" s="88" t="e">
        <v>#N/A</v>
      </c>
      <c r="AC27" s="88" t="str">
        <v>W1FL-120</v>
      </c>
      <c r="AD27" s="88" t="str">
        <v>W1FL-280</v>
      </c>
      <c r="AE27" s="89" t="e">
        <v>#N/A</v>
      </c>
      <c r="AF27" s="90" t="e">
        <v>#N/A</v>
      </c>
    </row>
    <row r="28" spans="1:32">
      <c r="A28" s="8">
        <v>25</v>
      </c>
      <c r="B28" s="12" t="s">
        <v>21</v>
      </c>
      <c r="C28" s="13" t="s">
        <v>33</v>
      </c>
      <c r="D28" s="10" t="s">
        <v>34</v>
      </c>
      <c r="E28" s="69" t="str">
        <f t="shared" si="2"/>
        <v>后地板分装线</v>
      </c>
      <c r="F28" s="55" t="s">
        <v>25</v>
      </c>
      <c r="G28" s="55" t="s">
        <v>256</v>
      </c>
      <c r="H28" s="75"/>
      <c r="I28" s="87" t="e">
        <v>#N/A</v>
      </c>
      <c r="J28" s="91" t="str">
        <v>W1HP4-020</v>
      </c>
      <c r="K28" s="89" t="str">
        <v>W1RF4-040</v>
      </c>
      <c r="L28" s="89" t="str">
        <v>W1FU4-040L</v>
      </c>
      <c r="M28" s="89" t="str">
        <v>W1BSI4-070L</v>
      </c>
      <c r="N28" s="89" t="str">
        <v>W1BSI4-070R</v>
      </c>
      <c r="O28" s="89" t="str">
        <v>W1BS1-080L</v>
      </c>
      <c r="P28" s="89" t="str">
        <v>W1BS1-080R</v>
      </c>
      <c r="Q28" s="89" t="str">
        <v>W1ER3-080</v>
      </c>
      <c r="R28" s="89" t="str">
        <v>W1UB-100</v>
      </c>
      <c r="S28" s="89" t="str">
        <v>W1MB-190</v>
      </c>
      <c r="T28" s="89" t="e">
        <v>#N/A</v>
      </c>
      <c r="U28" s="89" t="e">
        <v>#N/A</v>
      </c>
      <c r="V28" s="89" t="str">
        <v>W1BD1-060</v>
      </c>
      <c r="W28" s="89" t="e">
        <v>#N/A</v>
      </c>
      <c r="X28" s="89" t="e">
        <v>#N/A</v>
      </c>
      <c r="Y28" s="89" t="e">
        <v>#N/A</v>
      </c>
      <c r="Z28" s="89" t="e">
        <v>#N/A</v>
      </c>
      <c r="AA28" s="89" t="e">
        <v>#N/A</v>
      </c>
      <c r="AB28" s="89" t="e">
        <v>#N/A</v>
      </c>
      <c r="AC28" s="89" t="str">
        <v>W1FL-130</v>
      </c>
      <c r="AD28" s="89" t="str">
        <v>W1FL-310</v>
      </c>
      <c r="AE28" s="89" t="e">
        <v>#N/A</v>
      </c>
      <c r="AF28" s="90" t="e">
        <v>#N/A</v>
      </c>
    </row>
    <row r="29" spans="1:32">
      <c r="A29" s="8">
        <v>26</v>
      </c>
      <c r="B29" s="12" t="s">
        <v>21</v>
      </c>
      <c r="C29" s="13" t="s">
        <v>35</v>
      </c>
      <c r="D29" s="10" t="s">
        <v>261</v>
      </c>
      <c r="E29" s="69" t="str">
        <f t="shared" si="2"/>
        <v>后地板分装线</v>
      </c>
      <c r="F29" s="55" t="s">
        <v>24</v>
      </c>
      <c r="G29" s="55" t="s">
        <v>255</v>
      </c>
      <c r="H29" s="75"/>
      <c r="I29" s="92" t="e">
        <v>#N/A</v>
      </c>
      <c r="J29" s="91" t="e">
        <v>#N/A</v>
      </c>
      <c r="K29" s="89" t="str">
        <v>W1RF4-050</v>
      </c>
      <c r="L29" s="89" t="e">
        <v>#N/A</v>
      </c>
      <c r="M29" s="89" t="str">
        <v>W1BSI4-080L</v>
      </c>
      <c r="N29" s="89" t="str">
        <v>W1BSI4-080R</v>
      </c>
      <c r="O29" s="89" t="str">
        <v>W1BS1-090L</v>
      </c>
      <c r="P29" s="89" t="str">
        <v>W1BS1-090R</v>
      </c>
      <c r="Q29" s="89" t="e">
        <v>#N/A</v>
      </c>
      <c r="R29" s="89" t="e">
        <v>#N/A</v>
      </c>
      <c r="S29" s="89" t="str">
        <v>W1MB-200</v>
      </c>
      <c r="T29" s="89" t="e">
        <v>#N/A</v>
      </c>
      <c r="U29" s="89" t="e">
        <v>#N/A</v>
      </c>
      <c r="V29" s="89" t="str">
        <v>W1BD1-065</v>
      </c>
      <c r="W29" s="89" t="e">
        <v>#N/A</v>
      </c>
      <c r="X29" s="89" t="e">
        <v>#N/A</v>
      </c>
      <c r="Y29" s="89" t="e">
        <v>#N/A</v>
      </c>
      <c r="Z29" s="89" t="e">
        <v>#N/A</v>
      </c>
      <c r="AA29" s="89" t="e">
        <v>#N/A</v>
      </c>
      <c r="AB29" s="89" t="e">
        <v>#N/A</v>
      </c>
      <c r="AC29" s="89" t="str">
        <v>W1FL-140</v>
      </c>
      <c r="AD29" s="89" t="e">
        <v>#N/A</v>
      </c>
      <c r="AE29" s="89" t="e">
        <v>#N/A</v>
      </c>
      <c r="AF29" s="90" t="e">
        <v>#N/A</v>
      </c>
    </row>
    <row r="30" spans="1:32">
      <c r="A30" s="8">
        <v>27</v>
      </c>
      <c r="B30" s="12" t="s">
        <v>21</v>
      </c>
      <c r="C30" s="13" t="s">
        <v>36</v>
      </c>
      <c r="D30" s="10" t="s">
        <v>262</v>
      </c>
      <c r="E30" s="69" t="str">
        <f t="shared" si="2"/>
        <v>后地板分装线</v>
      </c>
      <c r="F30" s="55" t="s">
        <v>23</v>
      </c>
      <c r="G30" s="55" t="s">
        <v>254</v>
      </c>
      <c r="H30" s="75"/>
      <c r="I30" s="92" t="e">
        <v>#N/A</v>
      </c>
      <c r="J30" s="91" t="e">
        <v>#N/A</v>
      </c>
      <c r="K30" s="89" t="str">
        <v>W1RF4-060</v>
      </c>
      <c r="L30" s="89" t="e">
        <v>#N/A</v>
      </c>
      <c r="M30" s="89" t="str">
        <v>W1BSI4-090L</v>
      </c>
      <c r="N30" s="89" t="str">
        <v>W1BSI4-090R</v>
      </c>
      <c r="O30" s="89" t="e">
        <v>#N/A</v>
      </c>
      <c r="P30" s="89" t="e">
        <v>#N/A</v>
      </c>
      <c r="Q30" s="89" t="e">
        <v>#N/A</v>
      </c>
      <c r="R30" s="89" t="e">
        <v>#N/A</v>
      </c>
      <c r="S30" s="89" t="str">
        <v>W1MB-210</v>
      </c>
      <c r="T30" s="89" t="e">
        <v>#N/A</v>
      </c>
      <c r="U30" s="89" t="e">
        <v>#N/A</v>
      </c>
      <c r="V30" s="89" t="str">
        <v>W1BD1-070</v>
      </c>
      <c r="W30" s="89" t="e">
        <v>#N/A</v>
      </c>
      <c r="X30" s="89" t="e">
        <v>#N/A</v>
      </c>
      <c r="Y30" s="89" t="e">
        <v>#N/A</v>
      </c>
      <c r="Z30" s="89" t="e">
        <v>#N/A</v>
      </c>
      <c r="AA30" s="89" t="e">
        <v>#N/A</v>
      </c>
      <c r="AB30" s="89" t="e">
        <v>#N/A</v>
      </c>
      <c r="AC30" s="89" t="str">
        <v>W1FL-150</v>
      </c>
      <c r="AD30" s="89" t="e">
        <v>#N/A</v>
      </c>
      <c r="AE30" s="89" t="e">
        <v>#N/A</v>
      </c>
      <c r="AF30" s="90" t="e">
        <v>#N/A</v>
      </c>
    </row>
    <row r="31" spans="1:32">
      <c r="A31" s="8">
        <v>28</v>
      </c>
      <c r="B31" s="12" t="s">
        <v>21</v>
      </c>
      <c r="C31" s="13" t="s">
        <v>37</v>
      </c>
      <c r="D31" s="10" t="s">
        <v>263</v>
      </c>
      <c r="E31" s="69" t="str">
        <f t="shared" si="2"/>
        <v>后地板分装线</v>
      </c>
      <c r="F31" s="55" t="s">
        <v>22</v>
      </c>
      <c r="G31" s="55" t="s">
        <v>253</v>
      </c>
      <c r="H31" s="75"/>
      <c r="I31" s="92" t="e">
        <v>#N/A</v>
      </c>
      <c r="J31" s="91" t="e">
        <v>#N/A</v>
      </c>
      <c r="K31" s="89" t="str">
        <v>W1RF4-070</v>
      </c>
      <c r="L31" s="89" t="e">
        <v>#N/A</v>
      </c>
      <c r="M31" s="89" t="str">
        <v>W1BSI4-100L</v>
      </c>
      <c r="N31" s="89" t="str">
        <v>W1BSI4-100R</v>
      </c>
      <c r="O31" s="89" t="e">
        <v>#N/A</v>
      </c>
      <c r="P31" s="89" t="e">
        <v>#N/A</v>
      </c>
      <c r="Q31" s="89" t="e">
        <v>#N/A</v>
      </c>
      <c r="R31" s="89" t="e">
        <v>#N/A</v>
      </c>
      <c r="S31" s="89" t="str">
        <v>W1MB-220</v>
      </c>
      <c r="T31" s="89" t="e">
        <v>#N/A</v>
      </c>
      <c r="U31" s="89" t="e">
        <v>#N/A</v>
      </c>
      <c r="V31" s="89" t="e">
        <v>#N/A</v>
      </c>
      <c r="W31" s="89" t="e">
        <v>#N/A</v>
      </c>
      <c r="X31" s="89" t="e">
        <v>#N/A</v>
      </c>
      <c r="Y31" s="89" t="e">
        <v>#N/A</v>
      </c>
      <c r="Z31" s="89" t="e">
        <v>#N/A</v>
      </c>
      <c r="AA31" s="89" t="e">
        <v>#N/A</v>
      </c>
      <c r="AB31" s="89" t="e">
        <v>#N/A</v>
      </c>
      <c r="AC31" s="89" t="e">
        <v>#N/A</v>
      </c>
      <c r="AD31" s="89" t="e">
        <v>#N/A</v>
      </c>
      <c r="AE31" s="89" t="e">
        <v>#N/A</v>
      </c>
      <c r="AF31" s="90" t="e">
        <v>#N/A</v>
      </c>
    </row>
    <row r="32" spans="1:32" ht="16.2" thickBot="1">
      <c r="A32" s="8">
        <v>29</v>
      </c>
      <c r="B32" s="12" t="s">
        <v>21</v>
      </c>
      <c r="C32" s="14" t="s">
        <v>38</v>
      </c>
      <c r="D32" s="15" t="s">
        <v>264</v>
      </c>
      <c r="E32" s="69" t="s">
        <v>781</v>
      </c>
      <c r="F32" s="43" t="s">
        <v>43</v>
      </c>
      <c r="G32" s="44" t="s">
        <v>268</v>
      </c>
      <c r="H32" s="75"/>
      <c r="I32" s="92" t="e">
        <v>#N/A</v>
      </c>
      <c r="J32" s="91" t="e">
        <v>#N/A</v>
      </c>
      <c r="K32" s="89" t="str">
        <v>W1RF4-080</v>
      </c>
      <c r="L32" s="89" t="e">
        <v>#N/A</v>
      </c>
      <c r="M32" s="89" t="e">
        <v>#N/A</v>
      </c>
      <c r="N32" s="89" t="e">
        <v>#N/A</v>
      </c>
      <c r="O32" s="89" t="e">
        <v>#N/A</v>
      </c>
      <c r="P32" s="89" t="e">
        <v>#N/A</v>
      </c>
      <c r="Q32" s="89" t="e">
        <v>#N/A</v>
      </c>
      <c r="R32" s="89" t="e">
        <v>#N/A</v>
      </c>
      <c r="S32" s="89" t="e">
        <v>#N/A</v>
      </c>
      <c r="T32" s="89" t="e">
        <v>#N/A</v>
      </c>
      <c r="U32" s="89" t="e">
        <v>#N/A</v>
      </c>
      <c r="V32" s="89" t="e">
        <v>#N/A</v>
      </c>
      <c r="W32" s="89"/>
      <c r="X32" s="89" t="e">
        <v>#N/A</v>
      </c>
      <c r="Y32" s="89" t="e">
        <v>#N/A</v>
      </c>
      <c r="Z32" s="89" t="e">
        <v>#N/A</v>
      </c>
      <c r="AA32" s="89" t="e">
        <v>#N/A</v>
      </c>
      <c r="AB32" s="89" t="e">
        <v>#N/A</v>
      </c>
      <c r="AC32" s="89" t="e">
        <v>#N/A</v>
      </c>
      <c r="AD32" s="89" t="e">
        <v>#N/A</v>
      </c>
      <c r="AE32" s="89" t="e">
        <v>#N/A</v>
      </c>
      <c r="AF32" s="90" t="e">
        <v>#N/A</v>
      </c>
    </row>
    <row r="33" spans="1:32">
      <c r="A33" s="8">
        <v>30</v>
      </c>
      <c r="B33" s="12" t="s">
        <v>39</v>
      </c>
      <c r="C33" s="16" t="s">
        <v>40</v>
      </c>
      <c r="D33" s="17" t="s">
        <v>265</v>
      </c>
      <c r="E33" s="69" t="str">
        <f t="shared" ref="E33:E39" si="3">E32</f>
        <v>前纵梁线</v>
      </c>
      <c r="F33" s="43" t="s">
        <v>42</v>
      </c>
      <c r="G33" s="44" t="s">
        <v>267</v>
      </c>
      <c r="H33" s="76"/>
      <c r="I33" s="92" t="e">
        <v>#N/A</v>
      </c>
      <c r="J33" s="91" t="e">
        <v>#N/A</v>
      </c>
      <c r="K33" s="89" t="str">
        <v>W1RF4-090</v>
      </c>
      <c r="L33" s="89" t="e">
        <v>#N/A</v>
      </c>
      <c r="M33" s="89" t="e">
        <v>#N/A</v>
      </c>
      <c r="N33" s="89" t="e">
        <v>#N/A</v>
      </c>
      <c r="O33" s="89" t="e">
        <v>#N/A</v>
      </c>
      <c r="P33" s="89" t="e">
        <v>#N/A</v>
      </c>
      <c r="Q33" s="89" t="e">
        <v>#N/A</v>
      </c>
      <c r="R33" s="89" t="e">
        <v>#N/A</v>
      </c>
      <c r="S33" s="89" t="e">
        <v>#N/A</v>
      </c>
      <c r="T33" s="89" t="e">
        <v>#N/A</v>
      </c>
      <c r="U33" s="89" t="e">
        <v>#N/A</v>
      </c>
      <c r="V33" s="89" t="e">
        <v>#N/A</v>
      </c>
      <c r="W33" s="89"/>
      <c r="X33" s="89" t="e">
        <v>#N/A</v>
      </c>
      <c r="Y33" s="89" t="e">
        <v>#N/A</v>
      </c>
      <c r="Z33" s="89"/>
      <c r="AA33" s="89" t="e">
        <v>#N/A</v>
      </c>
      <c r="AB33" s="89" t="e">
        <v>#N/A</v>
      </c>
      <c r="AC33" s="89"/>
      <c r="AD33" s="89" t="e">
        <v>#N/A</v>
      </c>
      <c r="AE33" s="89" t="e">
        <v>#N/A</v>
      </c>
      <c r="AF33" s="90" t="e">
        <v>#N/A</v>
      </c>
    </row>
    <row r="34" spans="1:32">
      <c r="A34" s="8">
        <v>31</v>
      </c>
      <c r="B34" s="12" t="s">
        <v>39</v>
      </c>
      <c r="C34" s="11" t="s">
        <v>41</v>
      </c>
      <c r="D34" s="18" t="s">
        <v>266</v>
      </c>
      <c r="E34" s="69" t="str">
        <f t="shared" si="3"/>
        <v>前纵梁线</v>
      </c>
      <c r="F34" s="43" t="s">
        <v>41</v>
      </c>
      <c r="G34" s="44" t="s">
        <v>266</v>
      </c>
      <c r="H34" s="76"/>
      <c r="I34" s="92" t="e">
        <v>#N/A</v>
      </c>
      <c r="J34" s="91" t="e">
        <v>#N/A</v>
      </c>
      <c r="K34" s="89" t="str">
        <v>W1RF4-100</v>
      </c>
      <c r="L34" s="89" t="e">
        <v>#N/A</v>
      </c>
      <c r="M34" s="89" t="e">
        <v>#N/A</v>
      </c>
      <c r="N34" s="89" t="e">
        <v>#N/A</v>
      </c>
      <c r="O34" s="89" t="e">
        <v>#N/A</v>
      </c>
      <c r="P34" s="89" t="e">
        <v>#N/A</v>
      </c>
      <c r="Q34" s="89" t="e">
        <v>#N/A</v>
      </c>
      <c r="R34" s="89" t="e">
        <v>#N/A</v>
      </c>
      <c r="S34" s="89" t="e">
        <v>#N/A</v>
      </c>
      <c r="T34" s="89" t="e">
        <v>#N/A</v>
      </c>
      <c r="U34" s="89" t="e">
        <v>#N/A</v>
      </c>
      <c r="V34" s="89" t="e">
        <v>#N/A</v>
      </c>
      <c r="W34" s="89"/>
      <c r="X34" s="89" t="e">
        <v>#N/A</v>
      </c>
      <c r="Y34" s="89" t="e">
        <v>#N/A</v>
      </c>
      <c r="Z34" s="89"/>
      <c r="AA34" s="89" t="e">
        <v>#N/A</v>
      </c>
      <c r="AB34" s="89" t="e">
        <v>#N/A</v>
      </c>
      <c r="AC34" s="89"/>
      <c r="AD34" s="89"/>
      <c r="AE34" s="89" t="e">
        <v>#N/A</v>
      </c>
      <c r="AF34" s="90" t="e">
        <v>#N/A</v>
      </c>
    </row>
    <row r="35" spans="1:32">
      <c r="A35" s="8">
        <v>32</v>
      </c>
      <c r="B35" s="12" t="s">
        <v>39</v>
      </c>
      <c r="C35" s="11" t="s">
        <v>42</v>
      </c>
      <c r="D35" s="18" t="s">
        <v>267</v>
      </c>
      <c r="E35" s="69" t="str">
        <f t="shared" si="3"/>
        <v>前纵梁线</v>
      </c>
      <c r="F35" s="43" t="s">
        <v>40</v>
      </c>
      <c r="G35" s="44" t="s">
        <v>265</v>
      </c>
      <c r="H35" s="76"/>
      <c r="I35" s="92" t="e">
        <v>#N/A</v>
      </c>
      <c r="J35" s="91" t="e">
        <v>#N/A</v>
      </c>
      <c r="K35" s="89" t="e">
        <v>#N/A</v>
      </c>
      <c r="L35" s="89" t="e">
        <v>#N/A</v>
      </c>
      <c r="M35" s="89" t="e">
        <v>#N/A</v>
      </c>
      <c r="N35" s="89" t="e">
        <v>#N/A</v>
      </c>
      <c r="O35" s="89" t="e">
        <v>#N/A</v>
      </c>
      <c r="P35" s="89" t="e">
        <v>#N/A</v>
      </c>
      <c r="Q35" s="89" t="e">
        <v>#N/A</v>
      </c>
      <c r="R35" s="89" t="e">
        <v>#N/A</v>
      </c>
      <c r="S35" s="89"/>
      <c r="T35" s="89" t="e">
        <v>#N/A</v>
      </c>
      <c r="U35" s="89" t="e">
        <v>#N/A</v>
      </c>
      <c r="V35" s="89" t="e">
        <v>#N/A</v>
      </c>
      <c r="W35" s="89"/>
      <c r="X35" s="89" t="e">
        <v>#N/A</v>
      </c>
      <c r="Y35" s="89"/>
      <c r="Z35" s="89"/>
      <c r="AA35" s="89" t="e">
        <v>#N/A</v>
      </c>
      <c r="AB35" s="89"/>
      <c r="AC35" s="89"/>
      <c r="AD35" s="89"/>
      <c r="AE35" s="89" t="e">
        <v>#N/A</v>
      </c>
      <c r="AF35" s="90" t="e">
        <v>#N/A</v>
      </c>
    </row>
    <row r="36" spans="1:32">
      <c r="A36" s="8">
        <v>33</v>
      </c>
      <c r="B36" s="12" t="s">
        <v>39</v>
      </c>
      <c r="C36" s="11" t="s">
        <v>43</v>
      </c>
      <c r="D36" s="18" t="s">
        <v>268</v>
      </c>
      <c r="E36" s="69" t="str">
        <f t="shared" si="3"/>
        <v>前纵梁线</v>
      </c>
      <c r="F36" s="43" t="s">
        <v>47</v>
      </c>
      <c r="G36" s="44" t="s">
        <v>272</v>
      </c>
      <c r="H36" s="76"/>
      <c r="I36" s="92" t="e">
        <v>#N/A</v>
      </c>
      <c r="J36" s="91" t="e">
        <v>#N/A</v>
      </c>
      <c r="K36" s="89" t="e">
        <v>#N/A</v>
      </c>
      <c r="L36" s="89" t="e">
        <v>#N/A</v>
      </c>
      <c r="M36" s="89" t="e">
        <v>#N/A</v>
      </c>
      <c r="N36" s="89" t="e">
        <v>#N/A</v>
      </c>
      <c r="O36" s="89"/>
      <c r="P36" s="89" t="e">
        <v>#N/A</v>
      </c>
      <c r="Q36" s="89" t="e">
        <v>#N/A</v>
      </c>
      <c r="R36" s="89"/>
      <c r="S36" s="89"/>
      <c r="T36" s="89" t="e">
        <v>#N/A</v>
      </c>
      <c r="U36" s="89"/>
      <c r="V36" s="89" t="e">
        <v>#N/A</v>
      </c>
      <c r="W36" s="89"/>
      <c r="X36" s="89"/>
      <c r="Y36" s="89"/>
      <c r="Z36" s="89"/>
      <c r="AA36" s="89" t="e">
        <v>#N/A</v>
      </c>
      <c r="AB36" s="89"/>
      <c r="AC36" s="89"/>
      <c r="AD36" s="89"/>
      <c r="AE36" s="89"/>
      <c r="AF36" s="90" t="e">
        <v>#N/A</v>
      </c>
    </row>
    <row r="37" spans="1:32">
      <c r="A37" s="8">
        <v>34</v>
      </c>
      <c r="B37" s="12" t="s">
        <v>39</v>
      </c>
      <c r="C37" s="11" t="s">
        <v>44</v>
      </c>
      <c r="D37" s="18" t="s">
        <v>269</v>
      </c>
      <c r="E37" s="69" t="str">
        <f t="shared" si="3"/>
        <v>前纵梁线</v>
      </c>
      <c r="F37" s="43" t="s">
        <v>46</v>
      </c>
      <c r="G37" s="44" t="s">
        <v>271</v>
      </c>
      <c r="H37" s="76"/>
      <c r="I37" s="92" t="e">
        <v>#N/A</v>
      </c>
      <c r="J37" s="91" t="e">
        <v>#N/A</v>
      </c>
      <c r="K37" s="89" t="e">
        <v>#N/A</v>
      </c>
      <c r="L37" s="89" t="e">
        <v>#N/A</v>
      </c>
      <c r="M37" s="89" t="e">
        <v>#N/A</v>
      </c>
      <c r="N37" s="89" t="e">
        <v>#N/A</v>
      </c>
      <c r="O37" s="89"/>
      <c r="P37" s="89" t="e">
        <v>#N/A</v>
      </c>
      <c r="Q37" s="89" t="e">
        <v>#N/A</v>
      </c>
      <c r="R37" s="89"/>
      <c r="S37" s="89"/>
      <c r="T37" s="89"/>
      <c r="U37" s="89"/>
      <c r="V37" s="89" t="e">
        <v>#N/A</v>
      </c>
      <c r="W37" s="89"/>
      <c r="X37" s="89"/>
      <c r="Y37" s="89"/>
      <c r="Z37" s="89"/>
      <c r="AA37" s="89" t="e">
        <v>#N/A</v>
      </c>
      <c r="AB37" s="89"/>
      <c r="AC37" s="89"/>
      <c r="AD37" s="89"/>
      <c r="AE37" s="89"/>
      <c r="AF37" s="90" t="e">
        <v>#N/A</v>
      </c>
    </row>
    <row r="38" spans="1:32">
      <c r="A38" s="8">
        <v>35</v>
      </c>
      <c r="B38" s="12" t="s">
        <v>39</v>
      </c>
      <c r="C38" s="11" t="s">
        <v>45</v>
      </c>
      <c r="D38" s="18" t="s">
        <v>270</v>
      </c>
      <c r="E38" s="69" t="str">
        <f t="shared" si="3"/>
        <v>前纵梁线</v>
      </c>
      <c r="F38" s="43" t="s">
        <v>45</v>
      </c>
      <c r="G38" s="44" t="s">
        <v>270</v>
      </c>
      <c r="H38" s="76"/>
      <c r="I38" s="92"/>
      <c r="J38" s="91" t="e">
        <v>#N/A</v>
      </c>
      <c r="K38" s="89" t="e">
        <v>#N/A</v>
      </c>
      <c r="L38" s="89" t="e">
        <v>#N/A</v>
      </c>
      <c r="M38" s="89" t="e">
        <v>#N/A</v>
      </c>
      <c r="N38" s="89" t="e">
        <v>#N/A</v>
      </c>
      <c r="O38" s="89"/>
      <c r="P38" s="89" t="e">
        <v>#N/A</v>
      </c>
      <c r="Q38" s="89" t="e">
        <v>#N/A</v>
      </c>
      <c r="R38" s="89"/>
      <c r="S38" s="89"/>
      <c r="T38" s="89"/>
      <c r="U38" s="89"/>
      <c r="V38" s="89" t="e">
        <v>#N/A</v>
      </c>
      <c r="W38" s="89"/>
      <c r="X38" s="89"/>
      <c r="Y38" s="89"/>
      <c r="Z38" s="89"/>
      <c r="AA38" s="89" t="e">
        <v>#N/A</v>
      </c>
      <c r="AB38" s="89"/>
      <c r="AC38" s="89"/>
      <c r="AD38" s="89"/>
      <c r="AE38" s="89"/>
      <c r="AF38" s="90" t="e">
        <v>#N/A</v>
      </c>
    </row>
    <row r="39" spans="1:32">
      <c r="A39" s="8">
        <v>36</v>
      </c>
      <c r="B39" s="12" t="s">
        <v>39</v>
      </c>
      <c r="C39" s="11" t="s">
        <v>46</v>
      </c>
      <c r="D39" s="18" t="s">
        <v>271</v>
      </c>
      <c r="E39" s="69" t="str">
        <f t="shared" si="3"/>
        <v>前纵梁线</v>
      </c>
      <c r="F39" s="43" t="s">
        <v>44</v>
      </c>
      <c r="G39" s="44" t="s">
        <v>269</v>
      </c>
      <c r="H39" s="76"/>
      <c r="I39" s="92"/>
      <c r="J39" s="91" t="e">
        <v>#N/A</v>
      </c>
      <c r="K39" s="89" t="e">
        <v>#N/A</v>
      </c>
      <c r="L39" s="89" t="e">
        <v>#N/A</v>
      </c>
      <c r="M39" s="89" t="e">
        <v>#N/A</v>
      </c>
      <c r="N39" s="89" t="e">
        <v>#N/A</v>
      </c>
      <c r="O39" s="89"/>
      <c r="P39" s="89"/>
      <c r="Q39" s="89"/>
      <c r="R39" s="89"/>
      <c r="S39" s="89"/>
      <c r="T39" s="89"/>
      <c r="U39" s="89"/>
      <c r="V39" s="89" t="e">
        <v>#N/A</v>
      </c>
      <c r="W39" s="89"/>
      <c r="X39" s="89"/>
      <c r="Y39" s="89"/>
      <c r="Z39" s="89"/>
      <c r="AA39" s="89"/>
      <c r="AB39" s="89"/>
      <c r="AC39" s="89"/>
      <c r="AD39" s="89"/>
      <c r="AE39" s="89"/>
      <c r="AF39" s="90" t="e">
        <v>#N/A</v>
      </c>
    </row>
    <row r="40" spans="1:32" ht="16.2" thickBot="1">
      <c r="A40" s="8">
        <v>37</v>
      </c>
      <c r="B40" s="12" t="s">
        <v>39</v>
      </c>
      <c r="C40" s="19" t="s">
        <v>47</v>
      </c>
      <c r="D40" s="20" t="s">
        <v>272</v>
      </c>
      <c r="E40" s="69" t="s">
        <v>792</v>
      </c>
      <c r="F40" s="62" t="s">
        <v>793</v>
      </c>
      <c r="G40" s="44" t="s">
        <v>50</v>
      </c>
      <c r="H40" s="76"/>
      <c r="I40" s="92"/>
      <c r="J40" s="91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90" t="e">
        <v>#N/A</v>
      </c>
    </row>
    <row r="41" spans="1:32">
      <c r="A41" s="8">
        <v>38</v>
      </c>
      <c r="B41" s="12" t="s">
        <v>48</v>
      </c>
      <c r="C41" s="21" t="s">
        <v>49</v>
      </c>
      <c r="D41" s="17" t="s">
        <v>50</v>
      </c>
      <c r="E41" s="69" t="str">
        <f t="shared" ref="E41:E50" si="4">E40</f>
        <v>左侧围分装线</v>
      </c>
      <c r="F41" s="62" t="s">
        <v>795</v>
      </c>
      <c r="G41" s="44" t="s">
        <v>273</v>
      </c>
      <c r="H41" s="76"/>
      <c r="I41" s="92"/>
      <c r="J41" s="91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90"/>
    </row>
    <row r="42" spans="1:32" ht="16.2" thickBot="1">
      <c r="A42" s="8">
        <v>39</v>
      </c>
      <c r="B42" s="12" t="s">
        <v>48</v>
      </c>
      <c r="C42" s="22" t="s">
        <v>51</v>
      </c>
      <c r="D42" s="18" t="s">
        <v>273</v>
      </c>
      <c r="E42" s="69" t="str">
        <f t="shared" si="4"/>
        <v>左侧围分装线</v>
      </c>
      <c r="F42" s="62" t="s">
        <v>797</v>
      </c>
      <c r="G42" s="44" t="s">
        <v>53</v>
      </c>
      <c r="H42" s="76"/>
      <c r="I42" s="93"/>
      <c r="J42" s="94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6"/>
    </row>
    <row r="43" spans="1:32">
      <c r="A43" s="8">
        <v>40</v>
      </c>
      <c r="B43" s="12" t="s">
        <v>48</v>
      </c>
      <c r="C43" s="22" t="s">
        <v>52</v>
      </c>
      <c r="D43" s="18" t="s">
        <v>53</v>
      </c>
      <c r="E43" s="69" t="str">
        <f t="shared" si="4"/>
        <v>左侧围分装线</v>
      </c>
      <c r="F43" s="62" t="s">
        <v>798</v>
      </c>
      <c r="G43" s="44" t="s">
        <v>274</v>
      </c>
      <c r="H43" s="76"/>
      <c r="J43" s="5"/>
    </row>
    <row r="44" spans="1:32">
      <c r="A44" s="8">
        <v>41</v>
      </c>
      <c r="B44" s="12" t="s">
        <v>48</v>
      </c>
      <c r="C44" s="22" t="s">
        <v>54</v>
      </c>
      <c r="D44" s="18" t="s">
        <v>274</v>
      </c>
      <c r="E44" s="69" t="str">
        <f t="shared" si="4"/>
        <v>左侧围分装线</v>
      </c>
      <c r="F44" s="62" t="s">
        <v>800</v>
      </c>
      <c r="G44" s="44" t="s">
        <v>275</v>
      </c>
      <c r="H44" s="76"/>
      <c r="J44" s="5"/>
    </row>
    <row r="45" spans="1:32">
      <c r="A45" s="8">
        <v>42</v>
      </c>
      <c r="B45" s="12" t="s">
        <v>48</v>
      </c>
      <c r="C45" s="22" t="s">
        <v>55</v>
      </c>
      <c r="D45" s="18" t="s">
        <v>275</v>
      </c>
      <c r="E45" s="69" t="str">
        <f t="shared" si="4"/>
        <v>左侧围分装线</v>
      </c>
      <c r="F45" s="62" t="s">
        <v>802</v>
      </c>
      <c r="G45" s="61" t="s">
        <v>57</v>
      </c>
      <c r="H45" s="76"/>
      <c r="J45" s="5"/>
    </row>
    <row r="46" spans="1:32">
      <c r="A46" s="8">
        <v>43</v>
      </c>
      <c r="B46" s="12" t="s">
        <v>48</v>
      </c>
      <c r="C46" s="22" t="s">
        <v>56</v>
      </c>
      <c r="D46" s="18" t="s">
        <v>57</v>
      </c>
      <c r="E46" s="69" t="str">
        <f t="shared" si="4"/>
        <v>左侧围分装线</v>
      </c>
      <c r="F46" s="62" t="s">
        <v>803</v>
      </c>
      <c r="G46" s="44" t="s">
        <v>59</v>
      </c>
      <c r="H46" s="77"/>
      <c r="J46" s="5"/>
    </row>
    <row r="47" spans="1:32">
      <c r="A47" s="8">
        <v>44</v>
      </c>
      <c r="B47" s="12" t="s">
        <v>48</v>
      </c>
      <c r="C47" s="22" t="s">
        <v>58</v>
      </c>
      <c r="D47" s="18" t="s">
        <v>59</v>
      </c>
      <c r="E47" s="69" t="str">
        <f t="shared" si="4"/>
        <v>左侧围分装线</v>
      </c>
      <c r="F47" s="62" t="s">
        <v>804</v>
      </c>
      <c r="G47" s="44" t="s">
        <v>59</v>
      </c>
      <c r="H47" s="76"/>
      <c r="J47" s="5"/>
    </row>
    <row r="48" spans="1:32">
      <c r="A48" s="8">
        <v>45</v>
      </c>
      <c r="B48" s="12" t="s">
        <v>48</v>
      </c>
      <c r="C48" s="22" t="s">
        <v>60</v>
      </c>
      <c r="D48" s="18" t="s">
        <v>59</v>
      </c>
      <c r="E48" s="69" t="str">
        <f t="shared" si="4"/>
        <v>左侧围分装线</v>
      </c>
      <c r="F48" s="62" t="s">
        <v>805</v>
      </c>
      <c r="G48" s="44" t="s">
        <v>276</v>
      </c>
      <c r="H48" s="76"/>
      <c r="J48" s="5"/>
    </row>
    <row r="49" spans="1:10">
      <c r="A49" s="8">
        <v>46</v>
      </c>
      <c r="B49" s="12" t="s">
        <v>48</v>
      </c>
      <c r="C49" s="22" t="s">
        <v>61</v>
      </c>
      <c r="D49" s="18" t="s">
        <v>276</v>
      </c>
      <c r="E49" s="69" t="str">
        <f t="shared" si="4"/>
        <v>左侧围分装线</v>
      </c>
      <c r="F49" s="62" t="s">
        <v>807</v>
      </c>
      <c r="G49" s="44" t="s">
        <v>277</v>
      </c>
      <c r="H49" s="76"/>
      <c r="J49" s="5"/>
    </row>
    <row r="50" spans="1:10">
      <c r="A50" s="8">
        <v>47</v>
      </c>
      <c r="B50" s="12" t="s">
        <v>48</v>
      </c>
      <c r="C50" s="22" t="s">
        <v>62</v>
      </c>
      <c r="D50" s="18" t="s">
        <v>277</v>
      </c>
      <c r="E50" s="69" t="str">
        <f t="shared" si="4"/>
        <v>左侧围分装线</v>
      </c>
      <c r="F50" s="62" t="s">
        <v>809</v>
      </c>
      <c r="G50" s="44" t="s">
        <v>277</v>
      </c>
      <c r="H50" s="76"/>
      <c r="J50" s="5"/>
    </row>
    <row r="51" spans="1:10">
      <c r="A51" s="8">
        <v>48</v>
      </c>
      <c r="B51" s="12" t="s">
        <v>48</v>
      </c>
      <c r="C51" s="22" t="s">
        <v>63</v>
      </c>
      <c r="D51" s="18" t="s">
        <v>277</v>
      </c>
      <c r="E51" s="69" t="s">
        <v>810</v>
      </c>
      <c r="F51" s="62" t="s">
        <v>811</v>
      </c>
      <c r="G51" s="44" t="s">
        <v>278</v>
      </c>
      <c r="H51" s="76"/>
      <c r="J51" s="5"/>
    </row>
    <row r="52" spans="1:10">
      <c r="A52" s="8">
        <v>49</v>
      </c>
      <c r="B52" s="12" t="s">
        <v>48</v>
      </c>
      <c r="C52" s="22" t="s">
        <v>64</v>
      </c>
      <c r="D52" s="18" t="s">
        <v>278</v>
      </c>
      <c r="E52" s="69" t="str">
        <f t="shared" ref="E52:E61" si="5">E51</f>
        <v>右侧围分装线</v>
      </c>
      <c r="F52" s="62" t="s">
        <v>813</v>
      </c>
      <c r="G52" s="44" t="s">
        <v>279</v>
      </c>
      <c r="H52" s="76"/>
      <c r="J52" s="5"/>
    </row>
    <row r="53" spans="1:10">
      <c r="A53" s="8">
        <v>50</v>
      </c>
      <c r="B53" s="12" t="s">
        <v>48</v>
      </c>
      <c r="C53" s="22" t="s">
        <v>65</v>
      </c>
      <c r="D53" s="18" t="s">
        <v>279</v>
      </c>
      <c r="E53" s="69" t="str">
        <f t="shared" si="5"/>
        <v>右侧围分装线</v>
      </c>
      <c r="F53" s="62" t="s">
        <v>817</v>
      </c>
      <c r="G53" s="44" t="s">
        <v>280</v>
      </c>
      <c r="H53" s="76"/>
      <c r="J53" s="5"/>
    </row>
    <row r="54" spans="1:10">
      <c r="A54" s="8">
        <v>51</v>
      </c>
      <c r="B54" s="12" t="s">
        <v>48</v>
      </c>
      <c r="C54" s="22" t="s">
        <v>66</v>
      </c>
      <c r="D54" s="18" t="s">
        <v>280</v>
      </c>
      <c r="E54" s="69" t="str">
        <f t="shared" si="5"/>
        <v>右侧围分装线</v>
      </c>
      <c r="F54" s="62" t="s">
        <v>819</v>
      </c>
      <c r="G54" s="44" t="s">
        <v>281</v>
      </c>
      <c r="H54" s="76"/>
      <c r="J54" s="5"/>
    </row>
    <row r="55" spans="1:10">
      <c r="A55" s="8">
        <v>52</v>
      </c>
      <c r="B55" s="12" t="s">
        <v>48</v>
      </c>
      <c r="C55" s="22" t="s">
        <v>67</v>
      </c>
      <c r="D55" s="18" t="s">
        <v>281</v>
      </c>
      <c r="E55" s="69" t="str">
        <f t="shared" si="5"/>
        <v>右侧围分装线</v>
      </c>
      <c r="F55" s="62" t="s">
        <v>821</v>
      </c>
      <c r="G55" s="44" t="s">
        <v>69</v>
      </c>
      <c r="H55" s="76"/>
      <c r="J55" s="5"/>
    </row>
    <row r="56" spans="1:10">
      <c r="A56" s="8">
        <v>53</v>
      </c>
      <c r="B56" s="12" t="s">
        <v>48</v>
      </c>
      <c r="C56" s="22" t="s">
        <v>68</v>
      </c>
      <c r="D56" s="18" t="s">
        <v>69</v>
      </c>
      <c r="E56" s="69" t="str">
        <f t="shared" si="5"/>
        <v>右侧围分装线</v>
      </c>
      <c r="F56" s="62" t="s">
        <v>822</v>
      </c>
      <c r="G56" s="61" t="s">
        <v>71</v>
      </c>
      <c r="H56" s="76"/>
      <c r="J56" s="5"/>
    </row>
    <row r="57" spans="1:10">
      <c r="A57" s="8">
        <v>54</v>
      </c>
      <c r="B57" s="12" t="s">
        <v>48</v>
      </c>
      <c r="C57" s="22" t="s">
        <v>70</v>
      </c>
      <c r="D57" s="18" t="s">
        <v>71</v>
      </c>
      <c r="E57" s="69" t="str">
        <f t="shared" si="5"/>
        <v>右侧围分装线</v>
      </c>
      <c r="F57" s="62" t="s">
        <v>823</v>
      </c>
      <c r="G57" s="44" t="s">
        <v>73</v>
      </c>
      <c r="H57" s="77"/>
      <c r="J57" s="5"/>
    </row>
    <row r="58" spans="1:10">
      <c r="A58" s="8">
        <v>55</v>
      </c>
      <c r="B58" s="12" t="s">
        <v>48</v>
      </c>
      <c r="C58" s="22" t="s">
        <v>72</v>
      </c>
      <c r="D58" s="18" t="s">
        <v>73</v>
      </c>
      <c r="E58" s="69" t="str">
        <f t="shared" si="5"/>
        <v>右侧围分装线</v>
      </c>
      <c r="F58" s="62" t="s">
        <v>824</v>
      </c>
      <c r="G58" s="44" t="s">
        <v>73</v>
      </c>
      <c r="H58" s="76"/>
      <c r="J58" s="5"/>
    </row>
    <row r="59" spans="1:10">
      <c r="A59" s="8">
        <v>56</v>
      </c>
      <c r="B59" s="12" t="s">
        <v>48</v>
      </c>
      <c r="C59" s="22" t="s">
        <v>74</v>
      </c>
      <c r="D59" s="18" t="s">
        <v>73</v>
      </c>
      <c r="E59" s="69" t="str">
        <f t="shared" si="5"/>
        <v>右侧围分装线</v>
      </c>
      <c r="F59" s="62" t="s">
        <v>825</v>
      </c>
      <c r="G59" s="44" t="s">
        <v>76</v>
      </c>
      <c r="H59" s="76"/>
      <c r="J59" s="5"/>
    </row>
    <row r="60" spans="1:10">
      <c r="A60" s="8">
        <v>57</v>
      </c>
      <c r="B60" s="12" t="s">
        <v>48</v>
      </c>
      <c r="C60" s="22" t="s">
        <v>75</v>
      </c>
      <c r="D60" s="18" t="s">
        <v>76</v>
      </c>
      <c r="E60" s="69" t="str">
        <f t="shared" si="5"/>
        <v>右侧围分装线</v>
      </c>
      <c r="F60" s="62" t="s">
        <v>826</v>
      </c>
      <c r="G60" s="44" t="s">
        <v>73</v>
      </c>
      <c r="H60" s="76"/>
      <c r="J60" s="5"/>
    </row>
    <row r="61" spans="1:10">
      <c r="A61" s="8">
        <v>58</v>
      </c>
      <c r="B61" s="12" t="s">
        <v>48</v>
      </c>
      <c r="C61" s="22" t="s">
        <v>77</v>
      </c>
      <c r="D61" s="18" t="s">
        <v>73</v>
      </c>
      <c r="E61" s="69" t="str">
        <f t="shared" si="5"/>
        <v>右侧围分装线</v>
      </c>
      <c r="F61" s="62" t="s">
        <v>827</v>
      </c>
      <c r="G61" s="44" t="s">
        <v>73</v>
      </c>
      <c r="H61" s="76"/>
      <c r="J61" s="5"/>
    </row>
    <row r="62" spans="1:10" ht="16.2" thickBot="1">
      <c r="A62" s="8">
        <v>59</v>
      </c>
      <c r="B62" s="12" t="s">
        <v>48</v>
      </c>
      <c r="C62" s="23" t="s">
        <v>78</v>
      </c>
      <c r="D62" s="20" t="s">
        <v>73</v>
      </c>
      <c r="E62" s="69" t="s">
        <v>828</v>
      </c>
      <c r="F62" s="44" t="s">
        <v>829</v>
      </c>
      <c r="G62" s="44" t="s">
        <v>282</v>
      </c>
      <c r="H62" s="76"/>
      <c r="J62" s="5"/>
    </row>
    <row r="63" spans="1:10">
      <c r="A63" s="8">
        <v>60</v>
      </c>
      <c r="B63" s="9" t="s">
        <v>79</v>
      </c>
      <c r="C63" s="17" t="s">
        <v>80</v>
      </c>
      <c r="D63" s="17" t="s">
        <v>282</v>
      </c>
      <c r="E63" s="69" t="str">
        <f t="shared" ref="E63:E70" si="6">E62</f>
        <v>左侧围自动线</v>
      </c>
      <c r="F63" s="44" t="s">
        <v>832</v>
      </c>
      <c r="G63" s="44" t="s">
        <v>283</v>
      </c>
      <c r="H63" s="76"/>
      <c r="J63" s="5"/>
    </row>
    <row r="64" spans="1:10">
      <c r="A64" s="8">
        <v>61</v>
      </c>
      <c r="B64" s="9" t="s">
        <v>79</v>
      </c>
      <c r="C64" s="18" t="s">
        <v>81</v>
      </c>
      <c r="D64" s="18" t="s">
        <v>283</v>
      </c>
      <c r="E64" s="69" t="str">
        <f t="shared" si="6"/>
        <v>左侧围自动线</v>
      </c>
      <c r="F64" s="44" t="s">
        <v>834</v>
      </c>
      <c r="G64" s="44" t="s">
        <v>284</v>
      </c>
      <c r="H64" s="76"/>
      <c r="J64" s="5"/>
    </row>
    <row r="65" spans="1:10" ht="21.6">
      <c r="A65" s="8">
        <v>62</v>
      </c>
      <c r="B65" s="9" t="s">
        <v>79</v>
      </c>
      <c r="C65" s="18" t="s">
        <v>82</v>
      </c>
      <c r="D65" s="18" t="s">
        <v>284</v>
      </c>
      <c r="E65" s="69" t="str">
        <f t="shared" si="6"/>
        <v>左侧围自动线</v>
      </c>
      <c r="F65" s="44" t="s">
        <v>836</v>
      </c>
      <c r="G65" s="44" t="s">
        <v>285</v>
      </c>
      <c r="H65" s="76"/>
      <c r="J65" s="5"/>
    </row>
    <row r="66" spans="1:10" ht="21.6" collapsed="1">
      <c r="A66" s="8">
        <v>63</v>
      </c>
      <c r="B66" s="9" t="s">
        <v>79</v>
      </c>
      <c r="C66" s="18" t="s">
        <v>83</v>
      </c>
      <c r="D66" s="18" t="s">
        <v>285</v>
      </c>
      <c r="E66" s="69" t="str">
        <f t="shared" si="6"/>
        <v>左侧围自动线</v>
      </c>
      <c r="F66" s="44" t="s">
        <v>838</v>
      </c>
      <c r="G66" s="44" t="s">
        <v>286</v>
      </c>
      <c r="H66" s="76"/>
      <c r="J66" s="5"/>
    </row>
    <row r="67" spans="1:10" ht="21.6">
      <c r="A67" s="8">
        <v>64</v>
      </c>
      <c r="B67" s="9" t="s">
        <v>79</v>
      </c>
      <c r="C67" s="18" t="s">
        <v>84</v>
      </c>
      <c r="D67" s="18" t="s">
        <v>286</v>
      </c>
      <c r="E67" s="69" t="str">
        <f t="shared" si="6"/>
        <v>左侧围自动线</v>
      </c>
      <c r="F67" s="44" t="s">
        <v>840</v>
      </c>
      <c r="G67" s="44" t="s">
        <v>287</v>
      </c>
      <c r="H67" s="76"/>
      <c r="J67" s="5"/>
    </row>
    <row r="68" spans="1:10" ht="21.6">
      <c r="A68" s="8">
        <v>65</v>
      </c>
      <c r="B68" s="9" t="s">
        <v>79</v>
      </c>
      <c r="C68" s="18" t="s">
        <v>85</v>
      </c>
      <c r="D68" s="18" t="s">
        <v>287</v>
      </c>
      <c r="E68" s="69" t="str">
        <f t="shared" si="6"/>
        <v>左侧围自动线</v>
      </c>
      <c r="F68" s="44" t="s">
        <v>843</v>
      </c>
      <c r="G68" s="44" t="s">
        <v>87</v>
      </c>
      <c r="H68" s="76"/>
      <c r="J68" s="5"/>
    </row>
    <row r="69" spans="1:10">
      <c r="A69" s="8">
        <v>66</v>
      </c>
      <c r="B69" s="9" t="s">
        <v>79</v>
      </c>
      <c r="C69" s="18" t="s">
        <v>86</v>
      </c>
      <c r="D69" s="18" t="s">
        <v>87</v>
      </c>
      <c r="E69" s="69" t="str">
        <f t="shared" si="6"/>
        <v>左侧围自动线</v>
      </c>
      <c r="F69" s="44" t="s">
        <v>844</v>
      </c>
      <c r="G69" s="44" t="s">
        <v>89</v>
      </c>
      <c r="H69" s="76"/>
      <c r="J69" s="5"/>
    </row>
    <row r="70" spans="1:10">
      <c r="A70" s="8">
        <v>67</v>
      </c>
      <c r="B70" s="9" t="s">
        <v>79</v>
      </c>
      <c r="C70" s="18" t="s">
        <v>88</v>
      </c>
      <c r="D70" s="18" t="s">
        <v>89</v>
      </c>
      <c r="E70" s="69" t="str">
        <f t="shared" si="6"/>
        <v>左侧围自动线</v>
      </c>
      <c r="F70" s="44" t="s">
        <v>845</v>
      </c>
      <c r="G70" s="44" t="s">
        <v>91</v>
      </c>
      <c r="H70" s="76"/>
      <c r="J70" s="5"/>
    </row>
    <row r="71" spans="1:10">
      <c r="A71" s="8">
        <v>68</v>
      </c>
      <c r="B71" s="9" t="s">
        <v>79</v>
      </c>
      <c r="C71" s="18" t="s">
        <v>90</v>
      </c>
      <c r="D71" s="18" t="s">
        <v>91</v>
      </c>
      <c r="E71" s="69" t="s">
        <v>846</v>
      </c>
      <c r="F71" s="44" t="s">
        <v>847</v>
      </c>
      <c r="G71" s="44" t="s">
        <v>93</v>
      </c>
      <c r="H71" s="76"/>
      <c r="J71" s="5"/>
    </row>
    <row r="72" spans="1:10">
      <c r="A72" s="8">
        <v>69</v>
      </c>
      <c r="B72" s="9" t="s">
        <v>79</v>
      </c>
      <c r="C72" s="18" t="s">
        <v>92</v>
      </c>
      <c r="D72" s="18" t="s">
        <v>93</v>
      </c>
      <c r="E72" s="69" t="str">
        <f t="shared" ref="E72:E79" si="7">E71</f>
        <v>右侧围自动线</v>
      </c>
      <c r="F72" s="44" t="s">
        <v>848</v>
      </c>
      <c r="G72" s="44" t="s">
        <v>95</v>
      </c>
      <c r="H72" s="76"/>
      <c r="J72" s="28"/>
    </row>
    <row r="73" spans="1:10" ht="21.6">
      <c r="A73" s="8">
        <v>70</v>
      </c>
      <c r="B73" s="9" t="s">
        <v>79</v>
      </c>
      <c r="C73" s="18" t="s">
        <v>94</v>
      </c>
      <c r="D73" s="18" t="s">
        <v>95</v>
      </c>
      <c r="E73" s="69" t="str">
        <f t="shared" si="7"/>
        <v>右侧围自动线</v>
      </c>
      <c r="F73" s="44" t="s">
        <v>849</v>
      </c>
      <c r="G73" s="44" t="s">
        <v>97</v>
      </c>
      <c r="H73" s="76"/>
      <c r="J73" s="28"/>
    </row>
    <row r="74" spans="1:10" ht="21.6">
      <c r="A74" s="8">
        <v>71</v>
      </c>
      <c r="B74" s="9" t="s">
        <v>79</v>
      </c>
      <c r="C74" s="18" t="s">
        <v>96</v>
      </c>
      <c r="D74" s="18" t="s">
        <v>97</v>
      </c>
      <c r="E74" s="69" t="str">
        <f t="shared" si="7"/>
        <v>右侧围自动线</v>
      </c>
      <c r="F74" s="44" t="s">
        <v>850</v>
      </c>
      <c r="G74" s="44" t="s">
        <v>288</v>
      </c>
      <c r="H74" s="76"/>
      <c r="J74" s="28"/>
    </row>
    <row r="75" spans="1:10" ht="21.6">
      <c r="A75" s="8">
        <v>72</v>
      </c>
      <c r="B75" s="9" t="s">
        <v>79</v>
      </c>
      <c r="C75" s="18" t="s">
        <v>98</v>
      </c>
      <c r="D75" s="18" t="s">
        <v>288</v>
      </c>
      <c r="E75" s="69" t="str">
        <f t="shared" si="7"/>
        <v>右侧围自动线</v>
      </c>
      <c r="F75" s="44" t="s">
        <v>852</v>
      </c>
      <c r="G75" s="44" t="s">
        <v>286</v>
      </c>
      <c r="H75" s="76"/>
      <c r="J75" s="28"/>
    </row>
    <row r="76" spans="1:10" ht="21.6">
      <c r="A76" s="8">
        <v>73</v>
      </c>
      <c r="B76" s="9" t="s">
        <v>79</v>
      </c>
      <c r="C76" s="18" t="s">
        <v>99</v>
      </c>
      <c r="D76" s="18" t="s">
        <v>286</v>
      </c>
      <c r="E76" s="69" t="str">
        <f t="shared" si="7"/>
        <v>右侧围自动线</v>
      </c>
      <c r="F76" s="44" t="s">
        <v>853</v>
      </c>
      <c r="G76" s="44" t="s">
        <v>287</v>
      </c>
      <c r="H76" s="76"/>
      <c r="J76" s="28"/>
    </row>
    <row r="77" spans="1:10" ht="21.6">
      <c r="A77" s="8">
        <v>74</v>
      </c>
      <c r="B77" s="9" t="s">
        <v>79</v>
      </c>
      <c r="C77" s="18" t="s">
        <v>100</v>
      </c>
      <c r="D77" s="18" t="s">
        <v>287</v>
      </c>
      <c r="E77" s="69" t="str">
        <f t="shared" si="7"/>
        <v>右侧围自动线</v>
      </c>
      <c r="F77" s="44" t="s">
        <v>854</v>
      </c>
      <c r="G77" s="44" t="s">
        <v>87</v>
      </c>
      <c r="H77" s="76"/>
      <c r="J77" s="28"/>
    </row>
    <row r="78" spans="1:10">
      <c r="A78" s="8">
        <v>75</v>
      </c>
      <c r="B78" s="9" t="s">
        <v>79</v>
      </c>
      <c r="C78" s="18" t="s">
        <v>101</v>
      </c>
      <c r="D78" s="18" t="s">
        <v>87</v>
      </c>
      <c r="E78" s="69" t="str">
        <f t="shared" si="7"/>
        <v>右侧围自动线</v>
      </c>
      <c r="F78" s="44" t="s">
        <v>855</v>
      </c>
      <c r="G78" s="44" t="s">
        <v>89</v>
      </c>
      <c r="H78" s="76"/>
      <c r="J78" s="28"/>
    </row>
    <row r="79" spans="1:10">
      <c r="A79" s="8">
        <v>76</v>
      </c>
      <c r="B79" s="9" t="s">
        <v>79</v>
      </c>
      <c r="C79" s="18" t="s">
        <v>102</v>
      </c>
      <c r="D79" s="18" t="s">
        <v>89</v>
      </c>
      <c r="E79" s="69" t="str">
        <f t="shared" si="7"/>
        <v>右侧围自动线</v>
      </c>
      <c r="F79" s="44" t="s">
        <v>856</v>
      </c>
      <c r="G79" s="44" t="s">
        <v>91</v>
      </c>
      <c r="H79" s="76"/>
      <c r="J79" s="28"/>
    </row>
    <row r="80" spans="1:10" ht="16.2" thickBot="1">
      <c r="A80" s="8">
        <v>77</v>
      </c>
      <c r="B80" s="9" t="s">
        <v>79</v>
      </c>
      <c r="C80" s="20" t="s">
        <v>103</v>
      </c>
      <c r="D80" s="20" t="s">
        <v>91</v>
      </c>
      <c r="E80" s="69" t="s">
        <v>104</v>
      </c>
      <c r="F80" s="55" t="s">
        <v>105</v>
      </c>
      <c r="G80" s="44" t="s">
        <v>289</v>
      </c>
      <c r="H80" s="76"/>
      <c r="J80" s="28"/>
    </row>
    <row r="81" spans="1:10" collapsed="1">
      <c r="A81" s="8">
        <v>78</v>
      </c>
      <c r="B81" s="12" t="s">
        <v>104</v>
      </c>
      <c r="C81" s="24" t="s">
        <v>105</v>
      </c>
      <c r="D81" s="17" t="s">
        <v>289</v>
      </c>
      <c r="E81" s="69" t="str">
        <f t="shared" ref="E81:E87" si="8">E80</f>
        <v>机舱自动线</v>
      </c>
      <c r="F81" s="44" t="s">
        <v>106</v>
      </c>
      <c r="G81" s="44" t="s">
        <v>290</v>
      </c>
      <c r="H81" s="76"/>
      <c r="J81" s="28"/>
    </row>
    <row r="82" spans="1:10">
      <c r="A82" s="8">
        <v>79</v>
      </c>
      <c r="B82" s="12" t="s">
        <v>104</v>
      </c>
      <c r="C82" s="18" t="s">
        <v>106</v>
      </c>
      <c r="D82" s="18" t="s">
        <v>290</v>
      </c>
      <c r="E82" s="69" t="str">
        <f t="shared" si="8"/>
        <v>机舱自动线</v>
      </c>
      <c r="F82" s="44" t="s">
        <v>107</v>
      </c>
      <c r="G82" s="44" t="s">
        <v>291</v>
      </c>
      <c r="H82" s="76"/>
      <c r="J82" s="28"/>
    </row>
    <row r="83" spans="1:10">
      <c r="A83" s="8">
        <v>80</v>
      </c>
      <c r="B83" s="12" t="s">
        <v>104</v>
      </c>
      <c r="C83" s="18" t="s">
        <v>107</v>
      </c>
      <c r="D83" s="18" t="s">
        <v>291</v>
      </c>
      <c r="E83" s="69" t="str">
        <f t="shared" si="8"/>
        <v>机舱自动线</v>
      </c>
      <c r="F83" s="44" t="s">
        <v>108</v>
      </c>
      <c r="G83" s="44" t="s">
        <v>292</v>
      </c>
      <c r="H83" s="76"/>
      <c r="J83" s="28"/>
    </row>
    <row r="84" spans="1:10">
      <c r="A84" s="8">
        <v>81</v>
      </c>
      <c r="B84" s="12" t="s">
        <v>104</v>
      </c>
      <c r="C84" s="18" t="s">
        <v>108</v>
      </c>
      <c r="D84" s="18" t="s">
        <v>292</v>
      </c>
      <c r="E84" s="69" t="str">
        <f t="shared" si="8"/>
        <v>机舱自动线</v>
      </c>
      <c r="F84" s="44" t="s">
        <v>109</v>
      </c>
      <c r="G84" s="44" t="s">
        <v>293</v>
      </c>
      <c r="H84" s="76"/>
      <c r="J84" s="28"/>
    </row>
    <row r="85" spans="1:10">
      <c r="A85" s="8">
        <v>82</v>
      </c>
      <c r="B85" s="12" t="s">
        <v>104</v>
      </c>
      <c r="C85" s="18" t="s">
        <v>109</v>
      </c>
      <c r="D85" s="18" t="s">
        <v>293</v>
      </c>
      <c r="E85" s="69" t="str">
        <f t="shared" si="8"/>
        <v>机舱自动线</v>
      </c>
      <c r="F85" s="44" t="s">
        <v>110</v>
      </c>
      <c r="G85" s="44" t="s">
        <v>292</v>
      </c>
      <c r="H85" s="76"/>
      <c r="J85" s="28"/>
    </row>
    <row r="86" spans="1:10">
      <c r="A86" s="8">
        <v>83</v>
      </c>
      <c r="B86" s="12" t="s">
        <v>104</v>
      </c>
      <c r="C86" s="18" t="s">
        <v>110</v>
      </c>
      <c r="D86" s="18" t="s">
        <v>292</v>
      </c>
      <c r="E86" s="69" t="str">
        <f t="shared" si="8"/>
        <v>机舱自动线</v>
      </c>
      <c r="F86" s="44" t="s">
        <v>111</v>
      </c>
      <c r="G86" s="44" t="s">
        <v>292</v>
      </c>
      <c r="H86" s="76"/>
      <c r="J86" s="28"/>
    </row>
    <row r="87" spans="1:10">
      <c r="A87" s="8">
        <v>84</v>
      </c>
      <c r="B87" s="12" t="s">
        <v>104</v>
      </c>
      <c r="C87" s="18" t="s">
        <v>111</v>
      </c>
      <c r="D87" s="18" t="s">
        <v>292</v>
      </c>
      <c r="E87" s="69" t="str">
        <f t="shared" si="8"/>
        <v>机舱自动线</v>
      </c>
      <c r="F87" s="44" t="s">
        <v>112</v>
      </c>
      <c r="G87" s="44" t="s">
        <v>292</v>
      </c>
      <c r="H87" s="76"/>
      <c r="J87" s="28"/>
    </row>
    <row r="88" spans="1:10" ht="16.2" thickBot="1">
      <c r="A88" s="8">
        <v>85</v>
      </c>
      <c r="B88" s="12" t="s">
        <v>104</v>
      </c>
      <c r="C88" s="20" t="s">
        <v>112</v>
      </c>
      <c r="D88" s="20" t="s">
        <v>292</v>
      </c>
      <c r="E88" s="69" t="s">
        <v>113</v>
      </c>
      <c r="F88" s="43" t="s">
        <v>878</v>
      </c>
      <c r="G88" s="44" t="s">
        <v>294</v>
      </c>
      <c r="H88" s="76"/>
      <c r="J88" s="28"/>
    </row>
    <row r="89" spans="1:10">
      <c r="A89" s="8">
        <v>86</v>
      </c>
      <c r="B89" s="12" t="s">
        <v>113</v>
      </c>
      <c r="C89" s="16" t="s">
        <v>114</v>
      </c>
      <c r="D89" s="17" t="s">
        <v>294</v>
      </c>
      <c r="E89" s="69" t="str">
        <f t="shared" ref="E89:E95" si="9">E88</f>
        <v>UB线</v>
      </c>
      <c r="F89" s="43" t="s">
        <v>880</v>
      </c>
      <c r="G89" s="44" t="s">
        <v>295</v>
      </c>
      <c r="H89" s="76"/>
      <c r="J89" s="28"/>
    </row>
    <row r="90" spans="1:10">
      <c r="A90" s="8">
        <v>87</v>
      </c>
      <c r="B90" s="12" t="s">
        <v>113</v>
      </c>
      <c r="C90" s="11" t="s">
        <v>115</v>
      </c>
      <c r="D90" s="18" t="s">
        <v>295</v>
      </c>
      <c r="E90" s="69" t="str">
        <f t="shared" si="9"/>
        <v>UB线</v>
      </c>
      <c r="F90" s="43" t="s">
        <v>882</v>
      </c>
      <c r="G90" s="44" t="s">
        <v>296</v>
      </c>
      <c r="H90" s="76"/>
    </row>
    <row r="91" spans="1:10">
      <c r="A91" s="8">
        <v>88</v>
      </c>
      <c r="B91" s="12" t="s">
        <v>113</v>
      </c>
      <c r="C91" s="11" t="s">
        <v>116</v>
      </c>
      <c r="D91" s="18" t="s">
        <v>296</v>
      </c>
      <c r="E91" s="69" t="str">
        <f t="shared" si="9"/>
        <v>UB线</v>
      </c>
      <c r="F91" s="43" t="s">
        <v>884</v>
      </c>
      <c r="G91" s="44" t="s">
        <v>298</v>
      </c>
      <c r="H91" s="76"/>
    </row>
    <row r="92" spans="1:10">
      <c r="A92" s="8">
        <v>89</v>
      </c>
      <c r="B92" s="12" t="s">
        <v>113</v>
      </c>
      <c r="C92" s="11" t="s">
        <v>117</v>
      </c>
      <c r="D92" s="18" t="s">
        <v>297</v>
      </c>
      <c r="E92" s="69" t="str">
        <f t="shared" si="9"/>
        <v>UB线</v>
      </c>
      <c r="F92" s="43" t="s">
        <v>886</v>
      </c>
      <c r="G92" s="44" t="s">
        <v>297</v>
      </c>
      <c r="H92" s="76"/>
    </row>
    <row r="93" spans="1:10">
      <c r="A93" s="8">
        <v>90</v>
      </c>
      <c r="B93" s="12" t="s">
        <v>113</v>
      </c>
      <c r="C93" s="11" t="s">
        <v>118</v>
      </c>
      <c r="D93" s="18" t="s">
        <v>298</v>
      </c>
      <c r="E93" s="69" t="str">
        <f t="shared" si="9"/>
        <v>UB线</v>
      </c>
      <c r="F93" s="43" t="s">
        <v>888</v>
      </c>
      <c r="G93" s="44" t="s">
        <v>298</v>
      </c>
      <c r="H93" s="76"/>
    </row>
    <row r="94" spans="1:10" ht="16.2" thickBot="1">
      <c r="A94" s="8">
        <v>91</v>
      </c>
      <c r="B94" s="12" t="s">
        <v>113</v>
      </c>
      <c r="C94" s="19" t="s">
        <v>119</v>
      </c>
      <c r="D94" s="20" t="s">
        <v>298</v>
      </c>
      <c r="E94" s="69" t="str">
        <f t="shared" si="9"/>
        <v>UB线</v>
      </c>
      <c r="F94" s="43" t="s">
        <v>889</v>
      </c>
      <c r="G94" s="44" t="s">
        <v>298</v>
      </c>
      <c r="H94" s="76"/>
    </row>
    <row r="95" spans="1:10" ht="16.2" thickBot="1">
      <c r="A95" s="8">
        <v>92</v>
      </c>
      <c r="B95" s="12" t="s">
        <v>113</v>
      </c>
      <c r="C95" s="25" t="s">
        <v>120</v>
      </c>
      <c r="D95" s="26" t="s">
        <v>299</v>
      </c>
      <c r="E95" s="69" t="str">
        <f t="shared" si="9"/>
        <v>UB线</v>
      </c>
      <c r="F95" s="43" t="s">
        <v>890</v>
      </c>
      <c r="G95" s="44" t="s">
        <v>299</v>
      </c>
      <c r="H95" s="76"/>
    </row>
    <row r="96" spans="1:10">
      <c r="A96" s="8">
        <v>93</v>
      </c>
      <c r="B96" s="12" t="s">
        <v>121</v>
      </c>
      <c r="C96" s="21" t="s">
        <v>122</v>
      </c>
      <c r="D96" s="17" t="s">
        <v>300</v>
      </c>
      <c r="E96" s="69" t="s">
        <v>892</v>
      </c>
      <c r="F96" s="62" t="s">
        <v>893</v>
      </c>
      <c r="G96" s="44" t="s">
        <v>300</v>
      </c>
      <c r="H96" s="76"/>
    </row>
    <row r="97" spans="1:8" ht="21.6" collapsed="1">
      <c r="A97" s="8">
        <v>94</v>
      </c>
      <c r="B97" s="12" t="s">
        <v>121</v>
      </c>
      <c r="C97" s="22" t="s">
        <v>123</v>
      </c>
      <c r="D97" s="18" t="s">
        <v>301</v>
      </c>
      <c r="E97" s="69" t="str">
        <f t="shared" ref="E97:E106" si="10">E96</f>
        <v>MB1线</v>
      </c>
      <c r="F97" s="62" t="s">
        <v>896</v>
      </c>
      <c r="G97" s="44" t="s">
        <v>301</v>
      </c>
      <c r="H97" s="76"/>
    </row>
    <row r="98" spans="1:8">
      <c r="A98" s="8">
        <v>95</v>
      </c>
      <c r="B98" s="12" t="s">
        <v>121</v>
      </c>
      <c r="C98" s="22" t="s">
        <v>124</v>
      </c>
      <c r="D98" s="18" t="s">
        <v>302</v>
      </c>
      <c r="E98" s="69" t="str">
        <f t="shared" si="10"/>
        <v>MB1线</v>
      </c>
      <c r="F98" s="62" t="s">
        <v>898</v>
      </c>
      <c r="G98" s="44" t="s">
        <v>302</v>
      </c>
      <c r="H98" s="76"/>
    </row>
    <row r="99" spans="1:8" ht="21.6">
      <c r="A99" s="8">
        <v>96</v>
      </c>
      <c r="B99" s="12" t="s">
        <v>121</v>
      </c>
      <c r="C99" s="22" t="s">
        <v>125</v>
      </c>
      <c r="D99" s="18" t="s">
        <v>303</v>
      </c>
      <c r="E99" s="69" t="str">
        <f t="shared" si="10"/>
        <v>MB1线</v>
      </c>
      <c r="F99" s="62" t="s">
        <v>900</v>
      </c>
      <c r="G99" s="44" t="s">
        <v>303</v>
      </c>
      <c r="H99" s="76"/>
    </row>
    <row r="100" spans="1:8">
      <c r="A100" s="8">
        <v>97</v>
      </c>
      <c r="B100" s="12" t="s">
        <v>121</v>
      </c>
      <c r="C100" s="22" t="s">
        <v>126</v>
      </c>
      <c r="D100" s="18" t="s">
        <v>127</v>
      </c>
      <c r="E100" s="69" t="str">
        <f t="shared" si="10"/>
        <v>MB1线</v>
      </c>
      <c r="F100" s="62" t="s">
        <v>902</v>
      </c>
      <c r="G100" s="44" t="s">
        <v>127</v>
      </c>
      <c r="H100" s="76"/>
    </row>
    <row r="101" spans="1:8">
      <c r="A101" s="8">
        <v>98</v>
      </c>
      <c r="B101" s="12" t="s">
        <v>121</v>
      </c>
      <c r="C101" s="22" t="s">
        <v>128</v>
      </c>
      <c r="D101" s="18" t="s">
        <v>304</v>
      </c>
      <c r="E101" s="69" t="str">
        <f t="shared" si="10"/>
        <v>MB1线</v>
      </c>
      <c r="F101" s="62" t="s">
        <v>903</v>
      </c>
      <c r="G101" s="44" t="s">
        <v>304</v>
      </c>
      <c r="H101" s="76"/>
    </row>
    <row r="102" spans="1:8">
      <c r="A102" s="8">
        <v>99</v>
      </c>
      <c r="B102" s="12" t="s">
        <v>121</v>
      </c>
      <c r="C102" s="22" t="s">
        <v>129</v>
      </c>
      <c r="D102" s="18" t="s">
        <v>304</v>
      </c>
      <c r="E102" s="69" t="str">
        <f t="shared" si="10"/>
        <v>MB1线</v>
      </c>
      <c r="F102" s="62" t="s">
        <v>905</v>
      </c>
      <c r="G102" s="44" t="s">
        <v>304</v>
      </c>
      <c r="H102" s="76"/>
    </row>
    <row r="103" spans="1:8">
      <c r="A103" s="8">
        <v>100</v>
      </c>
      <c r="B103" s="12" t="s">
        <v>121</v>
      </c>
      <c r="C103" s="22" t="s">
        <v>130</v>
      </c>
      <c r="D103" s="18" t="s">
        <v>304</v>
      </c>
      <c r="E103" s="69" t="str">
        <f t="shared" si="10"/>
        <v>MB1线</v>
      </c>
      <c r="F103" s="62" t="s">
        <v>906</v>
      </c>
      <c r="G103" s="44" t="s">
        <v>304</v>
      </c>
      <c r="H103" s="76"/>
    </row>
    <row r="104" spans="1:8">
      <c r="A104" s="8">
        <v>101</v>
      </c>
      <c r="B104" s="12" t="s">
        <v>121</v>
      </c>
      <c r="C104" s="22" t="s">
        <v>131</v>
      </c>
      <c r="D104" s="18" t="s">
        <v>132</v>
      </c>
      <c r="E104" s="69" t="str">
        <f t="shared" si="10"/>
        <v>MB1线</v>
      </c>
      <c r="F104" s="62" t="s">
        <v>907</v>
      </c>
      <c r="G104" s="44" t="s">
        <v>132</v>
      </c>
      <c r="H104" s="76"/>
    </row>
    <row r="105" spans="1:8">
      <c r="A105" s="8">
        <v>102</v>
      </c>
      <c r="B105" s="12" t="s">
        <v>121</v>
      </c>
      <c r="C105" s="22" t="s">
        <v>133</v>
      </c>
      <c r="D105" s="18" t="s">
        <v>134</v>
      </c>
      <c r="E105" s="69" t="str">
        <f t="shared" si="10"/>
        <v>MB1线</v>
      </c>
      <c r="F105" s="62" t="s">
        <v>908</v>
      </c>
      <c r="G105" s="44" t="s">
        <v>134</v>
      </c>
      <c r="H105" s="76"/>
    </row>
    <row r="106" spans="1:8">
      <c r="A106" s="8">
        <v>103</v>
      </c>
      <c r="B106" s="12" t="s">
        <v>121</v>
      </c>
      <c r="C106" s="22" t="s">
        <v>135</v>
      </c>
      <c r="D106" s="18" t="s">
        <v>304</v>
      </c>
      <c r="E106" s="69" t="str">
        <f t="shared" si="10"/>
        <v>MB1线</v>
      </c>
      <c r="F106" s="62" t="s">
        <v>909</v>
      </c>
      <c r="G106" s="44" t="s">
        <v>304</v>
      </c>
      <c r="H106" s="76"/>
    </row>
    <row r="107" spans="1:8">
      <c r="A107" s="8">
        <v>104</v>
      </c>
      <c r="B107" s="12" t="s">
        <v>121</v>
      </c>
      <c r="C107" s="22" t="s">
        <v>136</v>
      </c>
      <c r="D107" s="18" t="s">
        <v>137</v>
      </c>
      <c r="E107" s="69" t="s">
        <v>910</v>
      </c>
      <c r="F107" s="62" t="s">
        <v>911</v>
      </c>
      <c r="G107" s="44" t="s">
        <v>137</v>
      </c>
      <c r="H107" s="76"/>
    </row>
    <row r="108" spans="1:8">
      <c r="A108" s="8">
        <v>105</v>
      </c>
      <c r="B108" s="12" t="s">
        <v>121</v>
      </c>
      <c r="C108" s="22" t="s">
        <v>138</v>
      </c>
      <c r="D108" s="18" t="s">
        <v>139</v>
      </c>
      <c r="E108" s="69" t="str">
        <f t="shared" ref="E108:E112" si="11">E107</f>
        <v>MB2线</v>
      </c>
      <c r="F108" s="62" t="s">
        <v>912</v>
      </c>
      <c r="G108" s="44" t="s">
        <v>139</v>
      </c>
      <c r="H108" s="76"/>
    </row>
    <row r="109" spans="1:8">
      <c r="A109" s="8">
        <v>106</v>
      </c>
      <c r="B109" s="12" t="s">
        <v>121</v>
      </c>
      <c r="C109" s="22" t="s">
        <v>140</v>
      </c>
      <c r="D109" s="18" t="s">
        <v>139</v>
      </c>
      <c r="E109" s="69" t="str">
        <f t="shared" si="11"/>
        <v>MB2线</v>
      </c>
      <c r="F109" s="62" t="s">
        <v>913</v>
      </c>
      <c r="G109" s="44" t="s">
        <v>139</v>
      </c>
      <c r="H109" s="76"/>
    </row>
    <row r="110" spans="1:8">
      <c r="A110" s="8">
        <v>107</v>
      </c>
      <c r="B110" s="12" t="s">
        <v>121</v>
      </c>
      <c r="C110" s="22" t="s">
        <v>141</v>
      </c>
      <c r="D110" s="18" t="s">
        <v>142</v>
      </c>
      <c r="E110" s="69" t="str">
        <f t="shared" si="11"/>
        <v>MB2线</v>
      </c>
      <c r="F110" s="62" t="s">
        <v>914</v>
      </c>
      <c r="G110" s="44" t="s">
        <v>142</v>
      </c>
      <c r="H110" s="76"/>
    </row>
    <row r="111" spans="1:8">
      <c r="A111" s="8">
        <v>108</v>
      </c>
      <c r="B111" s="12" t="s">
        <v>121</v>
      </c>
      <c r="C111" s="22" t="s">
        <v>143</v>
      </c>
      <c r="D111" s="18" t="s">
        <v>144</v>
      </c>
      <c r="E111" s="69" t="str">
        <f t="shared" si="11"/>
        <v>MB2线</v>
      </c>
      <c r="F111" s="62" t="s">
        <v>915</v>
      </c>
      <c r="G111" s="44" t="s">
        <v>144</v>
      </c>
      <c r="H111" s="76"/>
    </row>
    <row r="112" spans="1:8" ht="16.2" thickBot="1">
      <c r="A112" s="8">
        <v>109</v>
      </c>
      <c r="B112" s="12" t="s">
        <v>121</v>
      </c>
      <c r="C112" s="23" t="s">
        <v>145</v>
      </c>
      <c r="D112" s="20" t="s">
        <v>300</v>
      </c>
      <c r="E112" s="69" t="str">
        <f t="shared" si="11"/>
        <v>MB2线</v>
      </c>
      <c r="F112" s="62" t="s">
        <v>916</v>
      </c>
      <c r="G112" s="44" t="s">
        <v>300</v>
      </c>
      <c r="H112" s="76"/>
    </row>
    <row r="113" spans="1:8" ht="21.6">
      <c r="A113" s="8">
        <v>110</v>
      </c>
      <c r="B113" s="9" t="s">
        <v>146</v>
      </c>
      <c r="C113" s="21" t="s">
        <v>147</v>
      </c>
      <c r="D113" s="17" t="s">
        <v>305</v>
      </c>
      <c r="E113" s="70" t="s">
        <v>146</v>
      </c>
      <c r="F113" s="62" t="s">
        <v>918</v>
      </c>
      <c r="G113" s="44" t="s">
        <v>305</v>
      </c>
      <c r="H113" s="76"/>
    </row>
    <row r="114" spans="1:8" collapsed="1">
      <c r="A114" s="8">
        <v>111</v>
      </c>
      <c r="B114" s="9" t="s">
        <v>146</v>
      </c>
      <c r="C114" s="22" t="s">
        <v>148</v>
      </c>
      <c r="D114" s="18" t="s">
        <v>306</v>
      </c>
      <c r="E114" s="70" t="str">
        <f t="shared" ref="E114:E115" si="12">E113</f>
        <v>顶盖</v>
      </c>
      <c r="F114" s="62" t="s">
        <v>920</v>
      </c>
      <c r="G114" s="44" t="s">
        <v>921</v>
      </c>
      <c r="H114" s="76"/>
    </row>
    <row r="115" spans="1:8" ht="16.2" thickBot="1">
      <c r="A115" s="8">
        <v>112</v>
      </c>
      <c r="B115" s="9" t="s">
        <v>146</v>
      </c>
      <c r="C115" s="23" t="s">
        <v>149</v>
      </c>
      <c r="D115" s="20" t="s">
        <v>307</v>
      </c>
      <c r="E115" s="70" t="str">
        <f t="shared" si="12"/>
        <v>顶盖</v>
      </c>
      <c r="F115" s="62" t="s">
        <v>922</v>
      </c>
      <c r="G115" s="44" t="s">
        <v>307</v>
      </c>
      <c r="H115" s="76"/>
    </row>
    <row r="116" spans="1:8">
      <c r="A116" s="8">
        <v>113</v>
      </c>
      <c r="B116" s="12" t="s">
        <v>150</v>
      </c>
      <c r="C116" s="21" t="s">
        <v>151</v>
      </c>
      <c r="D116" s="17" t="s">
        <v>308</v>
      </c>
      <c r="E116" s="69" t="s">
        <v>150</v>
      </c>
      <c r="F116" s="62" t="s">
        <v>926</v>
      </c>
      <c r="G116" s="44" t="s">
        <v>308</v>
      </c>
      <c r="H116" s="76"/>
    </row>
    <row r="117" spans="1:8">
      <c r="A117" s="8">
        <v>114</v>
      </c>
      <c r="B117" s="12" t="s">
        <v>150</v>
      </c>
      <c r="C117" s="22" t="s">
        <v>152</v>
      </c>
      <c r="D117" s="18" t="s">
        <v>309</v>
      </c>
      <c r="E117" s="69" t="str">
        <f t="shared" ref="E117:E125" si="13">E116</f>
        <v>行李箱盖</v>
      </c>
      <c r="F117" s="62" t="s">
        <v>930</v>
      </c>
      <c r="G117" s="44" t="s">
        <v>309</v>
      </c>
      <c r="H117" s="76"/>
    </row>
    <row r="118" spans="1:8">
      <c r="A118" s="8">
        <v>115</v>
      </c>
      <c r="B118" s="12" t="s">
        <v>150</v>
      </c>
      <c r="C118" s="22" t="s">
        <v>153</v>
      </c>
      <c r="D118" s="18" t="s">
        <v>310</v>
      </c>
      <c r="E118" s="69" t="str">
        <f t="shared" si="13"/>
        <v>行李箱盖</v>
      </c>
      <c r="F118" s="62" t="s">
        <v>932</v>
      </c>
      <c r="G118" s="44" t="s">
        <v>310</v>
      </c>
      <c r="H118" s="76"/>
    </row>
    <row r="119" spans="1:8">
      <c r="A119" s="8">
        <v>116</v>
      </c>
      <c r="B119" s="12" t="s">
        <v>150</v>
      </c>
      <c r="C119" s="22" t="s">
        <v>154</v>
      </c>
      <c r="D119" s="18" t="s">
        <v>311</v>
      </c>
      <c r="E119" s="69" t="str">
        <f t="shared" si="13"/>
        <v>行李箱盖</v>
      </c>
      <c r="F119" s="62" t="s">
        <v>934</v>
      </c>
      <c r="G119" s="44" t="s">
        <v>311</v>
      </c>
      <c r="H119" s="76"/>
    </row>
    <row r="120" spans="1:8">
      <c r="A120" s="8">
        <v>117</v>
      </c>
      <c r="B120" s="12" t="s">
        <v>150</v>
      </c>
      <c r="C120" s="22" t="s">
        <v>155</v>
      </c>
      <c r="D120" s="18" t="s">
        <v>312</v>
      </c>
      <c r="E120" s="69" t="str">
        <f t="shared" si="13"/>
        <v>行李箱盖</v>
      </c>
      <c r="F120" s="62" t="s">
        <v>936</v>
      </c>
      <c r="G120" s="44" t="s">
        <v>312</v>
      </c>
      <c r="H120" s="76"/>
    </row>
    <row r="121" spans="1:8">
      <c r="A121" s="8">
        <v>118</v>
      </c>
      <c r="B121" s="12" t="s">
        <v>150</v>
      </c>
      <c r="C121" s="22" t="s">
        <v>156</v>
      </c>
      <c r="D121" s="18" t="s">
        <v>313</v>
      </c>
      <c r="E121" s="69" t="str">
        <f t="shared" si="13"/>
        <v>行李箱盖</v>
      </c>
      <c r="F121" s="62" t="s">
        <v>938</v>
      </c>
      <c r="G121" s="44" t="s">
        <v>313</v>
      </c>
      <c r="H121" s="76"/>
    </row>
    <row r="122" spans="1:8">
      <c r="A122" s="8">
        <v>119</v>
      </c>
      <c r="B122" s="12" t="s">
        <v>150</v>
      </c>
      <c r="C122" s="22" t="s">
        <v>157</v>
      </c>
      <c r="D122" s="18" t="s">
        <v>314</v>
      </c>
      <c r="E122" s="69" t="str">
        <f t="shared" si="13"/>
        <v>行李箱盖</v>
      </c>
      <c r="F122" s="62" t="s">
        <v>940</v>
      </c>
      <c r="G122" s="44" t="s">
        <v>314</v>
      </c>
      <c r="H122" s="76"/>
    </row>
    <row r="123" spans="1:8">
      <c r="A123" s="8">
        <v>120</v>
      </c>
      <c r="B123" s="12" t="s">
        <v>150</v>
      </c>
      <c r="C123" s="22" t="s">
        <v>158</v>
      </c>
      <c r="D123" s="18" t="s">
        <v>315</v>
      </c>
      <c r="E123" s="69" t="str">
        <f t="shared" si="13"/>
        <v>行李箱盖</v>
      </c>
      <c r="F123" s="62" t="s">
        <v>942</v>
      </c>
      <c r="G123" s="44" t="s">
        <v>315</v>
      </c>
      <c r="H123" s="76"/>
    </row>
    <row r="124" spans="1:8">
      <c r="A124" s="8">
        <v>121</v>
      </c>
      <c r="B124" s="12" t="s">
        <v>150</v>
      </c>
      <c r="C124" s="22" t="s">
        <v>159</v>
      </c>
      <c r="D124" s="18" t="s">
        <v>316</v>
      </c>
      <c r="E124" s="69" t="str">
        <f t="shared" si="13"/>
        <v>行李箱盖</v>
      </c>
      <c r="F124" s="62" t="s">
        <v>944</v>
      </c>
      <c r="G124" s="44" t="s">
        <v>316</v>
      </c>
      <c r="H124" s="76"/>
    </row>
    <row r="125" spans="1:8" ht="16.2" thickBot="1">
      <c r="A125" s="8">
        <v>122</v>
      </c>
      <c r="B125" s="12" t="s">
        <v>150</v>
      </c>
      <c r="C125" s="23" t="s">
        <v>160</v>
      </c>
      <c r="D125" s="20" t="s">
        <v>317</v>
      </c>
      <c r="E125" s="69" t="str">
        <f t="shared" si="13"/>
        <v>行李箱盖</v>
      </c>
      <c r="F125" s="62" t="s">
        <v>946</v>
      </c>
      <c r="G125" s="44" t="s">
        <v>317</v>
      </c>
      <c r="H125" s="76"/>
    </row>
    <row r="126" spans="1:8">
      <c r="A126" s="8">
        <v>123</v>
      </c>
      <c r="B126" s="12" t="s">
        <v>161</v>
      </c>
      <c r="C126" s="21" t="s">
        <v>162</v>
      </c>
      <c r="D126" s="17" t="s">
        <v>318</v>
      </c>
      <c r="E126" s="69" t="s">
        <v>161</v>
      </c>
      <c r="F126" s="62" t="s">
        <v>950</v>
      </c>
      <c r="G126" s="44" t="s">
        <v>318</v>
      </c>
      <c r="H126" s="76"/>
    </row>
    <row r="127" spans="1:8">
      <c r="A127" s="8">
        <v>124</v>
      </c>
      <c r="B127" s="12" t="s">
        <v>161</v>
      </c>
      <c r="C127" s="22" t="s">
        <v>163</v>
      </c>
      <c r="D127" s="18" t="s">
        <v>319</v>
      </c>
      <c r="E127" s="69" t="str">
        <f t="shared" ref="E127:E130" si="14">E126</f>
        <v>发盖</v>
      </c>
      <c r="F127" s="62" t="s">
        <v>952</v>
      </c>
      <c r="G127" s="44" t="s">
        <v>319</v>
      </c>
      <c r="H127" s="76"/>
    </row>
    <row r="128" spans="1:8" ht="21.6">
      <c r="A128" s="8">
        <v>125</v>
      </c>
      <c r="B128" s="12" t="s">
        <v>161</v>
      </c>
      <c r="C128" s="22" t="s">
        <v>164</v>
      </c>
      <c r="D128" s="18" t="s">
        <v>320</v>
      </c>
      <c r="E128" s="69" t="str">
        <f t="shared" si="14"/>
        <v>发盖</v>
      </c>
      <c r="F128" s="62" t="s">
        <v>954</v>
      </c>
      <c r="G128" s="44" t="s">
        <v>320</v>
      </c>
      <c r="H128" s="76"/>
    </row>
    <row r="129" spans="1:8">
      <c r="A129" s="8">
        <v>126</v>
      </c>
      <c r="B129" s="12" t="s">
        <v>161</v>
      </c>
      <c r="C129" s="22" t="s">
        <v>165</v>
      </c>
      <c r="D129" s="18" t="s">
        <v>321</v>
      </c>
      <c r="E129" s="69" t="str">
        <f t="shared" si="14"/>
        <v>发盖</v>
      </c>
      <c r="F129" s="62" t="s">
        <v>956</v>
      </c>
      <c r="G129" s="44" t="s">
        <v>321</v>
      </c>
      <c r="H129" s="76"/>
    </row>
    <row r="130" spans="1:8" ht="16.2" thickBot="1">
      <c r="A130" s="8">
        <v>127</v>
      </c>
      <c r="B130" s="12" t="s">
        <v>161</v>
      </c>
      <c r="C130" s="23" t="s">
        <v>166</v>
      </c>
      <c r="D130" s="20" t="s">
        <v>322</v>
      </c>
      <c r="E130" s="69" t="str">
        <f t="shared" si="14"/>
        <v>发盖</v>
      </c>
      <c r="F130" s="62" t="s">
        <v>958</v>
      </c>
      <c r="G130" s="44" t="s">
        <v>322</v>
      </c>
      <c r="H130" s="76"/>
    </row>
    <row r="131" spans="1:8">
      <c r="A131" s="8">
        <v>128</v>
      </c>
      <c r="B131" s="12" t="s">
        <v>167</v>
      </c>
      <c r="C131" s="21" t="s">
        <v>401</v>
      </c>
      <c r="D131" s="17" t="s">
        <v>169</v>
      </c>
      <c r="E131" s="69" t="s">
        <v>167</v>
      </c>
      <c r="F131" s="62" t="s">
        <v>168</v>
      </c>
      <c r="G131" s="44" t="s">
        <v>169</v>
      </c>
      <c r="H131" s="76"/>
    </row>
    <row r="132" spans="1:8">
      <c r="A132" s="8">
        <v>129</v>
      </c>
      <c r="B132" s="12" t="s">
        <v>167</v>
      </c>
      <c r="C132" s="22" t="s">
        <v>402</v>
      </c>
      <c r="D132" s="18" t="s">
        <v>171</v>
      </c>
      <c r="E132" s="69" t="str">
        <f t="shared" ref="E132:E137" si="15">E131</f>
        <v>左前门</v>
      </c>
      <c r="F132" s="62" t="s">
        <v>170</v>
      </c>
      <c r="G132" s="44" t="s">
        <v>171</v>
      </c>
      <c r="H132" s="76"/>
    </row>
    <row r="133" spans="1:8">
      <c r="A133" s="8">
        <v>130</v>
      </c>
      <c r="B133" s="12" t="s">
        <v>167</v>
      </c>
      <c r="C133" s="22" t="s">
        <v>403</v>
      </c>
      <c r="D133" s="18" t="s">
        <v>173</v>
      </c>
      <c r="E133" s="69" t="str">
        <f t="shared" si="15"/>
        <v>左前门</v>
      </c>
      <c r="F133" s="62" t="s">
        <v>172</v>
      </c>
      <c r="G133" s="44" t="s">
        <v>173</v>
      </c>
      <c r="H133" s="76"/>
    </row>
    <row r="134" spans="1:8">
      <c r="A134" s="8">
        <v>131</v>
      </c>
      <c r="B134" s="12" t="s">
        <v>167</v>
      </c>
      <c r="C134" s="22" t="s">
        <v>400</v>
      </c>
      <c r="D134" s="18" t="s">
        <v>175</v>
      </c>
      <c r="E134" s="69" t="str">
        <f t="shared" si="15"/>
        <v>左前门</v>
      </c>
      <c r="F134" s="62" t="s">
        <v>174</v>
      </c>
      <c r="G134" s="44" t="s">
        <v>175</v>
      </c>
      <c r="H134" s="76"/>
    </row>
    <row r="135" spans="1:8">
      <c r="A135" s="8">
        <v>132</v>
      </c>
      <c r="B135" s="12" t="s">
        <v>167</v>
      </c>
      <c r="C135" s="22" t="s">
        <v>404</v>
      </c>
      <c r="D135" s="18" t="s">
        <v>323</v>
      </c>
      <c r="E135" s="69" t="str">
        <f t="shared" si="15"/>
        <v>左前门</v>
      </c>
      <c r="F135" s="62" t="s">
        <v>176</v>
      </c>
      <c r="G135" s="44" t="s">
        <v>323</v>
      </c>
      <c r="H135" s="76"/>
    </row>
    <row r="136" spans="1:8">
      <c r="A136" s="8">
        <v>133</v>
      </c>
      <c r="B136" s="12" t="s">
        <v>167</v>
      </c>
      <c r="C136" s="22" t="s">
        <v>405</v>
      </c>
      <c r="D136" s="18" t="s">
        <v>324</v>
      </c>
      <c r="E136" s="69" t="str">
        <f t="shared" si="15"/>
        <v>左前门</v>
      </c>
      <c r="F136" s="62" t="s">
        <v>177</v>
      </c>
      <c r="G136" s="44" t="s">
        <v>324</v>
      </c>
      <c r="H136" s="76"/>
    </row>
    <row r="137" spans="1:8" ht="16.2" thickBot="1">
      <c r="A137" s="8">
        <v>134</v>
      </c>
      <c r="B137" s="12" t="s">
        <v>167</v>
      </c>
      <c r="C137" s="23" t="s">
        <v>406</v>
      </c>
      <c r="D137" s="20" t="s">
        <v>325</v>
      </c>
      <c r="E137" s="69" t="str">
        <f t="shared" si="15"/>
        <v>左前门</v>
      </c>
      <c r="F137" s="62" t="s">
        <v>178</v>
      </c>
      <c r="G137" s="44" t="s">
        <v>325</v>
      </c>
      <c r="H137" s="76"/>
    </row>
    <row r="138" spans="1:8">
      <c r="A138" s="8">
        <v>135</v>
      </c>
      <c r="B138" s="12" t="s">
        <v>179</v>
      </c>
      <c r="C138" s="21" t="s">
        <v>180</v>
      </c>
      <c r="D138" s="17" t="s">
        <v>181</v>
      </c>
      <c r="E138" s="69" t="s">
        <v>179</v>
      </c>
      <c r="F138" s="62" t="s">
        <v>180</v>
      </c>
      <c r="G138" s="44" t="s">
        <v>181</v>
      </c>
      <c r="H138" s="76"/>
    </row>
    <row r="139" spans="1:8">
      <c r="A139" s="8">
        <v>136</v>
      </c>
      <c r="B139" s="12" t="s">
        <v>179</v>
      </c>
      <c r="C139" s="22" t="s">
        <v>182</v>
      </c>
      <c r="D139" s="18" t="s">
        <v>183</v>
      </c>
      <c r="E139" s="69" t="str">
        <f t="shared" ref="E139:E144" si="16">E138</f>
        <v>右前门</v>
      </c>
      <c r="F139" s="62" t="s">
        <v>182</v>
      </c>
      <c r="G139" s="44" t="s">
        <v>183</v>
      </c>
      <c r="H139" s="76"/>
    </row>
    <row r="140" spans="1:8">
      <c r="A140" s="8">
        <v>137</v>
      </c>
      <c r="B140" s="12" t="s">
        <v>179</v>
      </c>
      <c r="C140" s="22" t="s">
        <v>184</v>
      </c>
      <c r="D140" s="18" t="s">
        <v>185</v>
      </c>
      <c r="E140" s="69" t="str">
        <f t="shared" si="16"/>
        <v>右前门</v>
      </c>
      <c r="F140" s="62" t="s">
        <v>184</v>
      </c>
      <c r="G140" s="44" t="s">
        <v>185</v>
      </c>
      <c r="H140" s="76"/>
    </row>
    <row r="141" spans="1:8">
      <c r="A141" s="8">
        <v>138</v>
      </c>
      <c r="B141" s="12" t="s">
        <v>179</v>
      </c>
      <c r="C141" s="22" t="s">
        <v>186</v>
      </c>
      <c r="D141" s="18" t="s">
        <v>187</v>
      </c>
      <c r="E141" s="69" t="str">
        <f t="shared" si="16"/>
        <v>右前门</v>
      </c>
      <c r="F141" s="62" t="s">
        <v>186</v>
      </c>
      <c r="G141" s="44" t="s">
        <v>187</v>
      </c>
      <c r="H141" s="76"/>
    </row>
    <row r="142" spans="1:8">
      <c r="A142" s="8">
        <v>139</v>
      </c>
      <c r="B142" s="12" t="s">
        <v>179</v>
      </c>
      <c r="C142" s="22" t="s">
        <v>188</v>
      </c>
      <c r="D142" s="18" t="s">
        <v>326</v>
      </c>
      <c r="E142" s="69" t="str">
        <f t="shared" si="16"/>
        <v>右前门</v>
      </c>
      <c r="F142" s="62" t="s">
        <v>188</v>
      </c>
      <c r="G142" s="44" t="s">
        <v>326</v>
      </c>
      <c r="H142" s="76"/>
    </row>
    <row r="143" spans="1:8">
      <c r="A143" s="8">
        <v>140</v>
      </c>
      <c r="B143" s="12" t="s">
        <v>179</v>
      </c>
      <c r="C143" s="22" t="s">
        <v>189</v>
      </c>
      <c r="D143" s="18" t="s">
        <v>327</v>
      </c>
      <c r="E143" s="69" t="str">
        <f t="shared" si="16"/>
        <v>右前门</v>
      </c>
      <c r="F143" s="62" t="s">
        <v>189</v>
      </c>
      <c r="G143" s="44" t="s">
        <v>327</v>
      </c>
      <c r="H143" s="76"/>
    </row>
    <row r="144" spans="1:8" ht="16.2" thickBot="1">
      <c r="A144" s="8">
        <v>141</v>
      </c>
      <c r="B144" s="12" t="s">
        <v>179</v>
      </c>
      <c r="C144" s="23" t="s">
        <v>190</v>
      </c>
      <c r="D144" s="20" t="s">
        <v>328</v>
      </c>
      <c r="E144" s="69" t="str">
        <f t="shared" si="16"/>
        <v>右前门</v>
      </c>
      <c r="F144" s="62" t="s">
        <v>190</v>
      </c>
      <c r="G144" s="44" t="s">
        <v>328</v>
      </c>
      <c r="H144" s="76"/>
    </row>
    <row r="145" spans="1:8">
      <c r="A145" s="8">
        <v>142</v>
      </c>
      <c r="B145" s="12" t="s">
        <v>191</v>
      </c>
      <c r="C145" s="21" t="s">
        <v>192</v>
      </c>
      <c r="D145" s="17" t="s">
        <v>193</v>
      </c>
      <c r="E145" s="69" t="s">
        <v>191</v>
      </c>
      <c r="F145" s="62" t="s">
        <v>192</v>
      </c>
      <c r="G145" s="44" t="s">
        <v>193</v>
      </c>
      <c r="H145" s="76"/>
    </row>
    <row r="146" spans="1:8">
      <c r="A146" s="8">
        <v>143</v>
      </c>
      <c r="B146" s="12" t="s">
        <v>191</v>
      </c>
      <c r="C146" s="22" t="s">
        <v>194</v>
      </c>
      <c r="D146" s="18" t="s">
        <v>195</v>
      </c>
      <c r="E146" s="69" t="str">
        <f t="shared" ref="E146:E151" si="17">E145</f>
        <v>左后门</v>
      </c>
      <c r="F146" s="62" t="s">
        <v>194</v>
      </c>
      <c r="G146" s="44" t="s">
        <v>195</v>
      </c>
      <c r="H146" s="76"/>
    </row>
    <row r="147" spans="1:8">
      <c r="A147" s="8">
        <v>144</v>
      </c>
      <c r="B147" s="12" t="s">
        <v>191</v>
      </c>
      <c r="C147" s="22" t="s">
        <v>196</v>
      </c>
      <c r="D147" s="18" t="s">
        <v>197</v>
      </c>
      <c r="E147" s="69" t="str">
        <f t="shared" si="17"/>
        <v>左后门</v>
      </c>
      <c r="F147" s="62" t="s">
        <v>196</v>
      </c>
      <c r="G147" s="44" t="s">
        <v>197</v>
      </c>
      <c r="H147" s="76"/>
    </row>
    <row r="148" spans="1:8">
      <c r="A148" s="8">
        <v>145</v>
      </c>
      <c r="B148" s="12" t="s">
        <v>191</v>
      </c>
      <c r="C148" s="22" t="s">
        <v>198</v>
      </c>
      <c r="D148" s="18" t="s">
        <v>329</v>
      </c>
      <c r="E148" s="69" t="str">
        <f t="shared" si="17"/>
        <v>左后门</v>
      </c>
      <c r="F148" s="62" t="s">
        <v>198</v>
      </c>
      <c r="G148" s="44" t="s">
        <v>329</v>
      </c>
      <c r="H148" s="76"/>
    </row>
    <row r="149" spans="1:8">
      <c r="A149" s="8">
        <v>146</v>
      </c>
      <c r="B149" s="12" t="s">
        <v>191</v>
      </c>
      <c r="C149" s="22" t="s">
        <v>199</v>
      </c>
      <c r="D149" s="18" t="s">
        <v>330</v>
      </c>
      <c r="E149" s="69" t="str">
        <f t="shared" si="17"/>
        <v>左后门</v>
      </c>
      <c r="F149" s="62" t="s">
        <v>199</v>
      </c>
      <c r="G149" s="44" t="s">
        <v>330</v>
      </c>
      <c r="H149" s="76"/>
    </row>
    <row r="150" spans="1:8">
      <c r="A150" s="8">
        <v>147</v>
      </c>
      <c r="B150" s="12" t="s">
        <v>191</v>
      </c>
      <c r="C150" s="22" t="s">
        <v>200</v>
      </c>
      <c r="D150" s="18" t="s">
        <v>331</v>
      </c>
      <c r="E150" s="69" t="str">
        <f t="shared" si="17"/>
        <v>左后门</v>
      </c>
      <c r="F150" s="62" t="s">
        <v>200</v>
      </c>
      <c r="G150" s="44" t="s">
        <v>331</v>
      </c>
      <c r="H150" s="76"/>
    </row>
    <row r="151" spans="1:8" ht="16.2" thickBot="1">
      <c r="A151" s="8">
        <v>148</v>
      </c>
      <c r="B151" s="12" t="s">
        <v>191</v>
      </c>
      <c r="C151" s="23" t="s">
        <v>201</v>
      </c>
      <c r="D151" s="20" t="s">
        <v>332</v>
      </c>
      <c r="E151" s="69" t="str">
        <f t="shared" si="17"/>
        <v>左后门</v>
      </c>
      <c r="F151" s="62" t="s">
        <v>201</v>
      </c>
      <c r="G151" s="44" t="s">
        <v>332</v>
      </c>
      <c r="H151" s="76"/>
    </row>
    <row r="152" spans="1:8">
      <c r="A152" s="8">
        <v>149</v>
      </c>
      <c r="B152" s="12" t="s">
        <v>202</v>
      </c>
      <c r="C152" s="21" t="s">
        <v>203</v>
      </c>
      <c r="D152" s="17" t="s">
        <v>333</v>
      </c>
      <c r="E152" s="69" t="s">
        <v>202</v>
      </c>
      <c r="F152" s="62" t="s">
        <v>203</v>
      </c>
      <c r="G152" s="44" t="s">
        <v>333</v>
      </c>
      <c r="H152" s="76"/>
    </row>
    <row r="153" spans="1:8">
      <c r="A153" s="8">
        <v>150</v>
      </c>
      <c r="B153" s="12" t="s">
        <v>202</v>
      </c>
      <c r="C153" s="22" t="s">
        <v>204</v>
      </c>
      <c r="D153" s="18" t="s">
        <v>334</v>
      </c>
      <c r="E153" s="69" t="str">
        <f t="shared" ref="E153:E158" si="18">E152</f>
        <v>右后门</v>
      </c>
      <c r="F153" s="62" t="s">
        <v>204</v>
      </c>
      <c r="G153" s="44" t="s">
        <v>334</v>
      </c>
      <c r="H153" s="76"/>
    </row>
    <row r="154" spans="1:8">
      <c r="A154" s="8">
        <v>151</v>
      </c>
      <c r="B154" s="12" t="s">
        <v>202</v>
      </c>
      <c r="C154" s="22" t="s">
        <v>205</v>
      </c>
      <c r="D154" s="18" t="s">
        <v>335</v>
      </c>
      <c r="E154" s="69" t="str">
        <f t="shared" si="18"/>
        <v>右后门</v>
      </c>
      <c r="F154" s="62" t="s">
        <v>205</v>
      </c>
      <c r="G154" s="44" t="s">
        <v>335</v>
      </c>
      <c r="H154" s="76"/>
    </row>
    <row r="155" spans="1:8">
      <c r="A155" s="8">
        <v>152</v>
      </c>
      <c r="B155" s="12" t="s">
        <v>202</v>
      </c>
      <c r="C155" s="22" t="s">
        <v>206</v>
      </c>
      <c r="D155" s="18" t="s">
        <v>336</v>
      </c>
      <c r="E155" s="69" t="str">
        <f t="shared" si="18"/>
        <v>右后门</v>
      </c>
      <c r="F155" s="62" t="s">
        <v>206</v>
      </c>
      <c r="G155" s="44" t="s">
        <v>336</v>
      </c>
      <c r="H155" s="76"/>
    </row>
    <row r="156" spans="1:8">
      <c r="A156" s="8">
        <v>153</v>
      </c>
      <c r="B156" s="12" t="s">
        <v>202</v>
      </c>
      <c r="C156" s="22" t="s">
        <v>207</v>
      </c>
      <c r="D156" s="18" t="s">
        <v>330</v>
      </c>
      <c r="E156" s="69" t="str">
        <f t="shared" si="18"/>
        <v>右后门</v>
      </c>
      <c r="F156" s="62" t="s">
        <v>207</v>
      </c>
      <c r="G156" s="44" t="s">
        <v>1464</v>
      </c>
      <c r="H156" s="76"/>
    </row>
    <row r="157" spans="1:8">
      <c r="A157" s="8">
        <v>154</v>
      </c>
      <c r="B157" s="12" t="s">
        <v>202</v>
      </c>
      <c r="C157" s="22" t="s">
        <v>208</v>
      </c>
      <c r="D157" s="18" t="s">
        <v>331</v>
      </c>
      <c r="E157" s="69" t="str">
        <f t="shared" si="18"/>
        <v>右后门</v>
      </c>
      <c r="F157" s="62" t="s">
        <v>208</v>
      </c>
      <c r="G157" s="44" t="s">
        <v>1465</v>
      </c>
      <c r="H157" s="76"/>
    </row>
    <row r="158" spans="1:8" ht="16.2" thickBot="1">
      <c r="A158" s="8">
        <v>155</v>
      </c>
      <c r="B158" s="12" t="s">
        <v>202</v>
      </c>
      <c r="C158" s="23" t="s">
        <v>209</v>
      </c>
      <c r="D158" s="20" t="s">
        <v>337</v>
      </c>
      <c r="E158" s="69" t="str">
        <f t="shared" si="18"/>
        <v>右后门</v>
      </c>
      <c r="F158" s="62" t="s">
        <v>209</v>
      </c>
      <c r="G158" s="44" t="s">
        <v>337</v>
      </c>
      <c r="H158" s="76"/>
    </row>
    <row r="159" spans="1:8">
      <c r="A159" s="8">
        <v>156</v>
      </c>
      <c r="B159" s="9" t="s">
        <v>210</v>
      </c>
      <c r="C159" s="21" t="s">
        <v>211</v>
      </c>
      <c r="D159" s="24" t="s">
        <v>338</v>
      </c>
      <c r="E159" s="70" t="s">
        <v>1006</v>
      </c>
      <c r="F159" s="62" t="s">
        <v>1007</v>
      </c>
      <c r="G159" s="55" t="s">
        <v>1008</v>
      </c>
      <c r="H159" s="76"/>
    </row>
    <row r="160" spans="1:8" ht="16.2" thickBot="1">
      <c r="A160" s="8">
        <v>157</v>
      </c>
      <c r="B160" s="9" t="s">
        <v>212</v>
      </c>
      <c r="C160" s="23" t="s">
        <v>213</v>
      </c>
      <c r="D160" s="27" t="s">
        <v>339</v>
      </c>
      <c r="E160" s="70" t="str">
        <f>E159</f>
        <v>CO2焊</v>
      </c>
      <c r="F160" s="62" t="s">
        <v>1011</v>
      </c>
      <c r="G160" s="55" t="s">
        <v>1012</v>
      </c>
      <c r="H160" s="75"/>
    </row>
    <row r="161" spans="1:8">
      <c r="A161" s="8">
        <v>158</v>
      </c>
      <c r="B161" s="12" t="s">
        <v>214</v>
      </c>
      <c r="C161" s="21" t="s">
        <v>215</v>
      </c>
      <c r="D161" s="17" t="s">
        <v>340</v>
      </c>
      <c r="E161" s="69" t="s">
        <v>214</v>
      </c>
      <c r="F161" s="62" t="s">
        <v>1015</v>
      </c>
      <c r="G161" s="44" t="s">
        <v>340</v>
      </c>
      <c r="H161" s="75"/>
    </row>
    <row r="162" spans="1:8">
      <c r="A162" s="8">
        <v>159</v>
      </c>
      <c r="B162" s="12" t="s">
        <v>214</v>
      </c>
      <c r="C162" s="22" t="s">
        <v>216</v>
      </c>
      <c r="D162" s="18" t="s">
        <v>341</v>
      </c>
      <c r="E162" s="69" t="str">
        <f t="shared" ref="E162:E170" si="19">E161</f>
        <v>装调线</v>
      </c>
      <c r="F162" s="62" t="s">
        <v>215</v>
      </c>
      <c r="G162" s="44" t="s">
        <v>341</v>
      </c>
      <c r="H162" s="76"/>
    </row>
    <row r="163" spans="1:8">
      <c r="A163" s="8">
        <v>160</v>
      </c>
      <c r="B163" s="12" t="s">
        <v>214</v>
      </c>
      <c r="C163" s="22" t="s">
        <v>217</v>
      </c>
      <c r="D163" s="18" t="s">
        <v>342</v>
      </c>
      <c r="E163" s="69" t="str">
        <f t="shared" si="19"/>
        <v>装调线</v>
      </c>
      <c r="F163" s="62" t="s">
        <v>216</v>
      </c>
      <c r="G163" s="44" t="s">
        <v>342</v>
      </c>
      <c r="H163" s="76"/>
    </row>
    <row r="164" spans="1:8">
      <c r="A164" s="8">
        <v>161</v>
      </c>
      <c r="B164" s="12" t="s">
        <v>214</v>
      </c>
      <c r="C164" s="22" t="s">
        <v>218</v>
      </c>
      <c r="D164" s="18" t="s">
        <v>343</v>
      </c>
      <c r="E164" s="69" t="str">
        <f t="shared" si="19"/>
        <v>装调线</v>
      </c>
      <c r="F164" s="62" t="s">
        <v>217</v>
      </c>
      <c r="G164" s="44" t="s">
        <v>343</v>
      </c>
      <c r="H164" s="76"/>
    </row>
    <row r="165" spans="1:8">
      <c r="A165" s="8">
        <v>162</v>
      </c>
      <c r="B165" s="12" t="s">
        <v>214</v>
      </c>
      <c r="C165" s="22" t="s">
        <v>219</v>
      </c>
      <c r="D165" s="18" t="s">
        <v>344</v>
      </c>
      <c r="E165" s="69" t="str">
        <f t="shared" si="19"/>
        <v>装调线</v>
      </c>
      <c r="F165" s="62" t="s">
        <v>218</v>
      </c>
      <c r="G165" s="44" t="s">
        <v>344</v>
      </c>
      <c r="H165" s="76"/>
    </row>
    <row r="166" spans="1:8">
      <c r="A166" s="8">
        <v>163</v>
      </c>
      <c r="B166" s="12" t="s">
        <v>214</v>
      </c>
      <c r="C166" s="22" t="s">
        <v>220</v>
      </c>
      <c r="D166" s="18" t="s">
        <v>345</v>
      </c>
      <c r="E166" s="69" t="str">
        <f t="shared" si="19"/>
        <v>装调线</v>
      </c>
      <c r="F166" s="62" t="s">
        <v>219</v>
      </c>
      <c r="G166" s="44" t="s">
        <v>345</v>
      </c>
      <c r="H166" s="76"/>
    </row>
    <row r="167" spans="1:8">
      <c r="A167" s="8">
        <v>164</v>
      </c>
      <c r="B167" s="12" t="s">
        <v>214</v>
      </c>
      <c r="C167" s="22" t="s">
        <v>221</v>
      </c>
      <c r="D167" s="18" t="s">
        <v>346</v>
      </c>
      <c r="E167" s="69" t="str">
        <f t="shared" si="19"/>
        <v>装调线</v>
      </c>
      <c r="F167" s="62" t="s">
        <v>220</v>
      </c>
      <c r="G167" s="44" t="s">
        <v>346</v>
      </c>
      <c r="H167" s="76"/>
    </row>
    <row r="168" spans="1:8">
      <c r="A168" s="8">
        <v>165</v>
      </c>
      <c r="B168" s="12" t="s">
        <v>214</v>
      </c>
      <c r="C168" s="22" t="s">
        <v>222</v>
      </c>
      <c r="D168" s="18" t="s">
        <v>347</v>
      </c>
      <c r="E168" s="69" t="str">
        <f t="shared" si="19"/>
        <v>装调线</v>
      </c>
      <c r="F168" s="62" t="s">
        <v>221</v>
      </c>
      <c r="G168" s="44" t="s">
        <v>347</v>
      </c>
      <c r="H168" s="76"/>
    </row>
    <row r="169" spans="1:8" ht="16.2" thickBot="1">
      <c r="A169" s="8">
        <v>166</v>
      </c>
      <c r="B169" s="12" t="s">
        <v>214</v>
      </c>
      <c r="C169" s="23" t="s">
        <v>223</v>
      </c>
      <c r="D169" s="20" t="s">
        <v>348</v>
      </c>
      <c r="E169" s="69" t="str">
        <f t="shared" si="19"/>
        <v>装调线</v>
      </c>
      <c r="F169" s="62" t="s">
        <v>222</v>
      </c>
      <c r="G169" s="44" t="s">
        <v>348</v>
      </c>
      <c r="H169" s="76"/>
    </row>
    <row r="170" spans="1:8">
      <c r="A170" s="8">
        <v>167</v>
      </c>
      <c r="B170" s="12" t="s">
        <v>224</v>
      </c>
      <c r="C170" s="21" t="s">
        <v>225</v>
      </c>
      <c r="D170" s="17" t="s">
        <v>349</v>
      </c>
      <c r="E170" s="69" t="str">
        <f t="shared" si="19"/>
        <v>装调线</v>
      </c>
      <c r="F170" s="62" t="s">
        <v>223</v>
      </c>
      <c r="G170" s="44" t="s">
        <v>1038</v>
      </c>
      <c r="H170" s="76"/>
    </row>
    <row r="171" spans="1:8">
      <c r="A171" s="8">
        <v>168</v>
      </c>
      <c r="B171" s="12" t="s">
        <v>224</v>
      </c>
      <c r="C171" s="22" t="s">
        <v>226</v>
      </c>
      <c r="D171" s="18" t="s">
        <v>350</v>
      </c>
      <c r="E171" s="69" t="s">
        <v>224</v>
      </c>
      <c r="F171" s="62" t="s">
        <v>225</v>
      </c>
      <c r="G171" s="44" t="s">
        <v>349</v>
      </c>
      <c r="H171" s="76"/>
    </row>
    <row r="172" spans="1:8">
      <c r="A172" s="8">
        <v>169</v>
      </c>
      <c r="B172" s="12" t="s">
        <v>224</v>
      </c>
      <c r="C172" s="22" t="s">
        <v>227</v>
      </c>
      <c r="D172" s="18" t="s">
        <v>351</v>
      </c>
      <c r="E172" s="69" t="str">
        <f t="shared" ref="E172:E178" si="20">E171</f>
        <v>最终线</v>
      </c>
      <c r="F172" s="62" t="s">
        <v>226</v>
      </c>
      <c r="G172" s="44" t="s">
        <v>1045</v>
      </c>
      <c r="H172" s="76"/>
    </row>
    <row r="173" spans="1:8">
      <c r="A173" s="8">
        <v>170</v>
      </c>
      <c r="B173" s="12" t="s">
        <v>224</v>
      </c>
      <c r="C173" s="22" t="s">
        <v>228</v>
      </c>
      <c r="D173" s="18" t="s">
        <v>352</v>
      </c>
      <c r="E173" s="69" t="str">
        <f t="shared" si="20"/>
        <v>最终线</v>
      </c>
      <c r="F173" s="62" t="s">
        <v>227</v>
      </c>
      <c r="G173" s="44" t="s">
        <v>1047</v>
      </c>
      <c r="H173" s="76"/>
    </row>
    <row r="174" spans="1:8">
      <c r="A174" s="8">
        <v>171</v>
      </c>
      <c r="B174" s="12" t="s">
        <v>224</v>
      </c>
      <c r="C174" s="22" t="s">
        <v>229</v>
      </c>
      <c r="D174" s="18" t="s">
        <v>353</v>
      </c>
      <c r="E174" s="69" t="str">
        <f t="shared" si="20"/>
        <v>最终线</v>
      </c>
      <c r="F174" s="62" t="s">
        <v>228</v>
      </c>
      <c r="G174" s="44" t="s">
        <v>1049</v>
      </c>
      <c r="H174" s="76"/>
    </row>
    <row r="175" spans="1:8">
      <c r="A175" s="8">
        <v>172</v>
      </c>
      <c r="B175" s="12" t="s">
        <v>224</v>
      </c>
      <c r="C175" s="22" t="s">
        <v>230</v>
      </c>
      <c r="D175" s="18" t="s">
        <v>354</v>
      </c>
      <c r="E175" s="69" t="str">
        <f t="shared" si="20"/>
        <v>最终线</v>
      </c>
      <c r="F175" s="62" t="s">
        <v>229</v>
      </c>
      <c r="G175" s="44" t="s">
        <v>1052</v>
      </c>
      <c r="H175" s="76"/>
    </row>
    <row r="176" spans="1:8">
      <c r="A176" s="8">
        <v>173</v>
      </c>
      <c r="B176" s="12" t="s">
        <v>224</v>
      </c>
      <c r="C176" s="22" t="s">
        <v>231</v>
      </c>
      <c r="D176" s="18" t="s">
        <v>355</v>
      </c>
      <c r="E176" s="69" t="str">
        <f t="shared" si="20"/>
        <v>最终线</v>
      </c>
      <c r="F176" s="62" t="s">
        <v>230</v>
      </c>
      <c r="G176" s="44" t="s">
        <v>1054</v>
      </c>
      <c r="H176" s="76"/>
    </row>
    <row r="177" spans="1:8">
      <c r="A177" s="8">
        <v>174</v>
      </c>
      <c r="B177" s="12" t="s">
        <v>224</v>
      </c>
      <c r="C177" s="22" t="s">
        <v>232</v>
      </c>
      <c r="D177" s="18" t="s">
        <v>356</v>
      </c>
      <c r="E177" s="69" t="str">
        <f t="shared" si="20"/>
        <v>最终线</v>
      </c>
      <c r="F177" s="62" t="s">
        <v>231</v>
      </c>
      <c r="G177" s="44" t="s">
        <v>1056</v>
      </c>
      <c r="H177" s="76"/>
    </row>
    <row r="178" spans="1:8" ht="16.2" thickBot="1">
      <c r="A178" s="8">
        <v>175</v>
      </c>
      <c r="B178" s="12" t="s">
        <v>224</v>
      </c>
      <c r="C178" s="23" t="s">
        <v>233</v>
      </c>
      <c r="D178" s="20" t="s">
        <v>356</v>
      </c>
      <c r="E178" s="69" t="str">
        <f t="shared" si="20"/>
        <v>最终线</v>
      </c>
      <c r="F178" s="62" t="s">
        <v>232</v>
      </c>
      <c r="G178" s="44" t="s">
        <v>356</v>
      </c>
      <c r="H178" s="76"/>
    </row>
    <row r="179" spans="1:8">
      <c r="A179" s="29" t="s">
        <v>357</v>
      </c>
      <c r="B179" s="29">
        <v>175</v>
      </c>
      <c r="E179" s="69" t="s">
        <v>1060</v>
      </c>
      <c r="F179" s="55" t="s">
        <v>1061</v>
      </c>
      <c r="G179" s="55" t="s">
        <v>1062</v>
      </c>
      <c r="H179" s="76"/>
    </row>
    <row r="180" spans="1:8">
      <c r="E180" s="69" t="str">
        <f>E179</f>
        <v>涂装外修</v>
      </c>
      <c r="F180" s="55" t="s">
        <v>1064</v>
      </c>
      <c r="G180" s="55" t="s">
        <v>1065</v>
      </c>
      <c r="H180" s="75"/>
    </row>
    <row r="181" spans="1:8">
      <c r="E181" s="70" t="s">
        <v>1066</v>
      </c>
      <c r="F181" s="55" t="s">
        <v>1067</v>
      </c>
      <c r="G181" s="55" t="s">
        <v>1068</v>
      </c>
      <c r="H181" s="75"/>
    </row>
    <row r="182" spans="1:8">
      <c r="E182" s="70" t="str">
        <f t="shared" ref="E182:E184" si="21">E181</f>
        <v>总装外修</v>
      </c>
      <c r="F182" s="55" t="s">
        <v>1070</v>
      </c>
      <c r="G182" s="55" t="s">
        <v>1071</v>
      </c>
      <c r="H182" s="75"/>
    </row>
    <row r="183" spans="1:8">
      <c r="E183" s="70" t="str">
        <f t="shared" si="21"/>
        <v>总装外修</v>
      </c>
      <c r="F183" s="55" t="s">
        <v>1072</v>
      </c>
      <c r="G183" s="55" t="s">
        <v>1073</v>
      </c>
      <c r="H183" s="75"/>
    </row>
    <row r="184" spans="1:8">
      <c r="E184" s="70" t="str">
        <f t="shared" si="21"/>
        <v>总装外修</v>
      </c>
      <c r="F184" s="55" t="s">
        <v>1074</v>
      </c>
      <c r="G184" s="55" t="s">
        <v>1075</v>
      </c>
      <c r="H184" s="75"/>
    </row>
    <row r="185" spans="1:8">
      <c r="H185" s="75"/>
    </row>
  </sheetData>
  <mergeCells count="3">
    <mergeCell ref="A1:B1"/>
    <mergeCell ref="C1:D1"/>
    <mergeCell ref="A2:D2"/>
  </mergeCells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26</vt:i4>
      </vt:variant>
    </vt:vector>
  </HeadingPairs>
  <TitlesOfParts>
    <vt:vector size="30" baseType="lpstr">
      <vt:lpstr>问题清单</vt:lpstr>
      <vt:lpstr>工序工时定额表</vt:lpstr>
      <vt:lpstr>版本更新记录</vt:lpstr>
      <vt:lpstr>辅助表</vt:lpstr>
      <vt:lpstr>CO2焊房</vt:lpstr>
      <vt:lpstr>MB1线</vt:lpstr>
      <vt:lpstr>MB2线</vt:lpstr>
      <vt:lpstr>问题清单!Print_Area</vt:lpstr>
      <vt:lpstr>问题清单!Print_Titles</vt:lpstr>
      <vt:lpstr>UB线</vt:lpstr>
      <vt:lpstr>顶盖</vt:lpstr>
      <vt:lpstr>发盖</vt:lpstr>
      <vt:lpstr>行李箱盖</vt:lpstr>
      <vt:lpstr>后地板分装线</vt:lpstr>
      <vt:lpstr>机舱自动线</vt:lpstr>
      <vt:lpstr>前地板分装线</vt:lpstr>
      <vt:lpstr>前围板分装线</vt:lpstr>
      <vt:lpstr>前纵梁分装线</vt:lpstr>
      <vt:lpstr>涂装外修</vt:lpstr>
      <vt:lpstr>右侧围分装线</vt:lpstr>
      <vt:lpstr>右侧围自动线</vt:lpstr>
      <vt:lpstr>右后门</vt:lpstr>
      <vt:lpstr>右前门</vt:lpstr>
      <vt:lpstr>装调线</vt:lpstr>
      <vt:lpstr>总装外修</vt:lpstr>
      <vt:lpstr>最终线</vt:lpstr>
      <vt:lpstr>左侧围分装线</vt:lpstr>
      <vt:lpstr>左侧围自动线</vt:lpstr>
      <vt:lpstr>左后门</vt:lpstr>
      <vt:lpstr>左前门</vt:lpstr>
    </vt:vector>
  </TitlesOfParts>
  <Company>thtfpc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张理翔</dc:creator>
  <cp:lastModifiedBy>Windows 用户</cp:lastModifiedBy>
  <cp:lastPrinted>2020-04-08T13:20:12Z</cp:lastPrinted>
  <dcterms:created xsi:type="dcterms:W3CDTF">2009-07-14T10:38:00Z</dcterms:created>
  <dcterms:modified xsi:type="dcterms:W3CDTF">2020-12-19T00:39:54Z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2052-10.1.0.6875</vt:lpwstr>
  </property>
  <property fmtid="{D5CDD505-2E9C-101B-9397-08002B2CF9AE}" pid="3" name="IVID2F1E1603">
    <vt:lpwstr/>
  </property>
  <property fmtid="{D5CDD505-2E9C-101B-9397-08002B2CF9AE}" pid="4" name="IVIDC">
    <vt:lpwstr/>
  </property>
  <property fmtid="{D5CDD505-2E9C-101B-9397-08002B2CF9AE}" pid="5" name="IVID362F13E8">
    <vt:lpwstr/>
  </property>
  <property fmtid="{D5CDD505-2E9C-101B-9397-08002B2CF9AE}" pid="6" name="IVID3A3618F1">
    <vt:lpwstr/>
  </property>
  <property fmtid="{D5CDD505-2E9C-101B-9397-08002B2CF9AE}" pid="7" name="IVID15E41318">
    <vt:lpwstr/>
  </property>
  <property fmtid="{D5CDD505-2E9C-101B-9397-08002B2CF9AE}" pid="8" name="IVID181914D9">
    <vt:lpwstr/>
  </property>
  <property fmtid="{D5CDD505-2E9C-101B-9397-08002B2CF9AE}" pid="9" name="IVID155815FB">
    <vt:lpwstr/>
  </property>
  <property fmtid="{D5CDD505-2E9C-101B-9397-08002B2CF9AE}" pid="10" name="IVIDD091BF0">
    <vt:lpwstr/>
  </property>
  <property fmtid="{D5CDD505-2E9C-101B-9397-08002B2CF9AE}" pid="11" name="IVID344CCFFC">
    <vt:lpwstr/>
  </property>
  <property fmtid="{D5CDD505-2E9C-101B-9397-08002B2CF9AE}" pid="12" name="IVID1A7D12ED">
    <vt:lpwstr/>
  </property>
  <property fmtid="{D5CDD505-2E9C-101B-9397-08002B2CF9AE}" pid="13" name="IVID1B2115FE">
    <vt:lpwstr/>
  </property>
  <property fmtid="{D5CDD505-2E9C-101B-9397-08002B2CF9AE}" pid="14" name="IVID35431BD0">
    <vt:lpwstr/>
  </property>
  <property fmtid="{D5CDD505-2E9C-101B-9397-08002B2CF9AE}" pid="15" name="IVID4637A884">
    <vt:lpwstr/>
  </property>
  <property fmtid="{D5CDD505-2E9C-101B-9397-08002B2CF9AE}" pid="16" name="IVID127C14F5">
    <vt:lpwstr/>
  </property>
  <property fmtid="{D5CDD505-2E9C-101B-9397-08002B2CF9AE}" pid="17" name="IVID1834F0DD">
    <vt:lpwstr/>
  </property>
  <property fmtid="{D5CDD505-2E9C-101B-9397-08002B2CF9AE}" pid="18" name="IVID312119E0">
    <vt:lpwstr/>
  </property>
  <property fmtid="{D5CDD505-2E9C-101B-9397-08002B2CF9AE}" pid="19" name="IVID1C5812DA">
    <vt:lpwstr/>
  </property>
  <property fmtid="{D5CDD505-2E9C-101B-9397-08002B2CF9AE}" pid="20" name="IVID173907ED">
    <vt:lpwstr/>
  </property>
  <property fmtid="{D5CDD505-2E9C-101B-9397-08002B2CF9AE}" pid="21" name="IVID1D3F17E2">
    <vt:lpwstr/>
  </property>
  <property fmtid="{D5CDD505-2E9C-101B-9397-08002B2CF9AE}" pid="22" name="IVID13451200">
    <vt:lpwstr/>
  </property>
  <property fmtid="{D5CDD505-2E9C-101B-9397-08002B2CF9AE}" pid="23" name="IVID475611CF">
    <vt:lpwstr/>
  </property>
  <property fmtid="{D5CDD505-2E9C-101B-9397-08002B2CF9AE}" pid="24" name="IVID302D13DA">
    <vt:lpwstr/>
  </property>
  <property fmtid="{D5CDD505-2E9C-101B-9397-08002B2CF9AE}" pid="25" name="IVIDD5915D9">
    <vt:lpwstr/>
  </property>
  <property fmtid="{D5CDD505-2E9C-101B-9397-08002B2CF9AE}" pid="26" name="IVID17F6384A">
    <vt:lpwstr/>
  </property>
  <property fmtid="{D5CDD505-2E9C-101B-9397-08002B2CF9AE}" pid="27" name="IVID3B5A10EA">
    <vt:lpwstr/>
  </property>
  <property fmtid="{D5CDD505-2E9C-101B-9397-08002B2CF9AE}" pid="28" name="IVID3D0F16E3">
    <vt:lpwstr/>
  </property>
  <property fmtid="{D5CDD505-2E9C-101B-9397-08002B2CF9AE}" pid="29" name="IVID30260FFC">
    <vt:lpwstr/>
  </property>
  <property fmtid="{D5CDD505-2E9C-101B-9397-08002B2CF9AE}" pid="30" name="IVID2F301BED">
    <vt:lpwstr/>
  </property>
  <property fmtid="{D5CDD505-2E9C-101B-9397-08002B2CF9AE}" pid="31" name="IVID2F1117F5">
    <vt:lpwstr/>
  </property>
  <property fmtid="{D5CDD505-2E9C-101B-9397-08002B2CF9AE}" pid="32" name="IVID121617DE">
    <vt:lpwstr/>
  </property>
  <property fmtid="{D5CDD505-2E9C-101B-9397-08002B2CF9AE}" pid="33" name="IVID13691AF2">
    <vt:lpwstr/>
  </property>
  <property fmtid="{D5CDD505-2E9C-101B-9397-08002B2CF9AE}" pid="34" name="IVID1A3B0AF0">
    <vt:lpwstr/>
  </property>
  <property fmtid="{D5CDD505-2E9C-101B-9397-08002B2CF9AE}" pid="35" name="IVID373F12DB">
    <vt:lpwstr/>
  </property>
  <property fmtid="{D5CDD505-2E9C-101B-9397-08002B2CF9AE}" pid="36" name="IVID274B1CF5">
    <vt:lpwstr/>
  </property>
  <property fmtid="{D5CDD505-2E9C-101B-9397-08002B2CF9AE}" pid="37" name="IVID2B4E17FA">
    <vt:lpwstr/>
  </property>
  <property fmtid="{D5CDD505-2E9C-101B-9397-08002B2CF9AE}" pid="38" name="IVID253D11EF">
    <vt:lpwstr/>
  </property>
  <property fmtid="{D5CDD505-2E9C-101B-9397-08002B2CF9AE}" pid="39" name="IVID102124BA">
    <vt:lpwstr/>
  </property>
  <property fmtid="{D5CDD505-2E9C-101B-9397-08002B2CF9AE}" pid="40" name="IVID3D1509D0">
    <vt:lpwstr/>
  </property>
  <property fmtid="{D5CDD505-2E9C-101B-9397-08002B2CF9AE}" pid="41" name="IVID35641901">
    <vt:lpwstr/>
  </property>
  <property fmtid="{D5CDD505-2E9C-101B-9397-08002B2CF9AE}" pid="42" name="IVID45E1ED9">
    <vt:lpwstr/>
  </property>
  <property fmtid="{D5CDD505-2E9C-101B-9397-08002B2CF9AE}" pid="43" name="IVID324113D1">
    <vt:lpwstr/>
  </property>
  <property fmtid="{D5CDD505-2E9C-101B-9397-08002B2CF9AE}" pid="44" name="IVID1A2D1903">
    <vt:lpwstr/>
  </property>
  <property fmtid="{D5CDD505-2E9C-101B-9397-08002B2CF9AE}" pid="45" name="IVID222F6E42">
    <vt:lpwstr/>
  </property>
  <property fmtid="{D5CDD505-2E9C-101B-9397-08002B2CF9AE}" pid="46" name="IVID137012E9">
    <vt:lpwstr/>
  </property>
  <property fmtid="{D5CDD505-2E9C-101B-9397-08002B2CF9AE}" pid="47" name="IVID3D4D17F3">
    <vt:lpwstr/>
  </property>
  <property fmtid="{D5CDD505-2E9C-101B-9397-08002B2CF9AE}" pid="48" name="IVID2F2214CF">
    <vt:lpwstr/>
  </property>
  <property fmtid="{D5CDD505-2E9C-101B-9397-08002B2CF9AE}" pid="49" name="IVID212812E2">
    <vt:lpwstr/>
  </property>
  <property fmtid="{D5CDD505-2E9C-101B-9397-08002B2CF9AE}" pid="50" name="IVID174513DF">
    <vt:lpwstr/>
  </property>
  <property fmtid="{D5CDD505-2E9C-101B-9397-08002B2CF9AE}" pid="51" name="IVID14481408">
    <vt:lpwstr/>
  </property>
  <property fmtid="{D5CDD505-2E9C-101B-9397-08002B2CF9AE}" pid="52" name="IVID2E670A05">
    <vt:lpwstr/>
  </property>
  <property fmtid="{D5CDD505-2E9C-101B-9397-08002B2CF9AE}" pid="53" name="IVID2A161305">
    <vt:lpwstr/>
  </property>
  <property fmtid="{D5CDD505-2E9C-101B-9397-08002B2CF9AE}" pid="54" name="IVID173E1206">
    <vt:lpwstr/>
  </property>
  <property fmtid="{D5CDD505-2E9C-101B-9397-08002B2CF9AE}" pid="55" name="IVID232310EC">
    <vt:lpwstr/>
  </property>
  <property fmtid="{D5CDD505-2E9C-101B-9397-08002B2CF9AE}" pid="56" name="IVID133D1AE5">
    <vt:lpwstr/>
  </property>
  <property fmtid="{D5CDD505-2E9C-101B-9397-08002B2CF9AE}" pid="57" name="IVIDF6113D9">
    <vt:lpwstr/>
  </property>
  <property fmtid="{D5CDD505-2E9C-101B-9397-08002B2CF9AE}" pid="58" name="IVID362E14DB">
    <vt:lpwstr/>
  </property>
  <property fmtid="{D5CDD505-2E9C-101B-9397-08002B2CF9AE}" pid="59" name="IVID1F6511DB">
    <vt:lpwstr/>
  </property>
  <property fmtid="{D5CDD505-2E9C-101B-9397-08002B2CF9AE}" pid="60" name="IVID3F1D10E8">
    <vt:lpwstr/>
  </property>
  <property fmtid="{D5CDD505-2E9C-101B-9397-08002B2CF9AE}" pid="61" name="IVID144313EE">
    <vt:lpwstr/>
  </property>
  <property fmtid="{D5CDD505-2E9C-101B-9397-08002B2CF9AE}" pid="62" name="IVID272C0FEF">
    <vt:lpwstr/>
  </property>
  <property fmtid="{D5CDD505-2E9C-101B-9397-08002B2CF9AE}" pid="63" name="IVID240A1504">
    <vt:lpwstr/>
  </property>
  <property fmtid="{D5CDD505-2E9C-101B-9397-08002B2CF9AE}" pid="64" name="IVID2E511106">
    <vt:lpwstr/>
  </property>
  <property fmtid="{D5CDD505-2E9C-101B-9397-08002B2CF9AE}" pid="65" name="IVID2A6D14EB">
    <vt:lpwstr/>
  </property>
  <property fmtid="{D5CDD505-2E9C-101B-9397-08002B2CF9AE}" pid="66" name="IVID386F14FA">
    <vt:lpwstr/>
  </property>
  <property fmtid="{D5CDD505-2E9C-101B-9397-08002B2CF9AE}" pid="67" name="IVIDA1B07F3">
    <vt:lpwstr/>
  </property>
  <property fmtid="{D5CDD505-2E9C-101B-9397-08002B2CF9AE}" pid="68" name="IVID2A6715D8">
    <vt:lpwstr/>
  </property>
  <property fmtid="{D5CDD505-2E9C-101B-9397-08002B2CF9AE}" pid="69" name="IVID222D19FF">
    <vt:lpwstr/>
  </property>
  <property fmtid="{D5CDD505-2E9C-101B-9397-08002B2CF9AE}" pid="70" name="IVID2D4D15EB">
    <vt:lpwstr/>
  </property>
  <property fmtid="{D5CDD505-2E9C-101B-9397-08002B2CF9AE}" pid="71" name="IVID1A3517F4">
    <vt:lpwstr/>
  </property>
  <property fmtid="{D5CDD505-2E9C-101B-9397-08002B2CF9AE}" pid="72" name="IVID2B0E1302">
    <vt:lpwstr/>
  </property>
  <property fmtid="{D5CDD505-2E9C-101B-9397-08002B2CF9AE}" pid="73" name="IVID332E19D7">
    <vt:lpwstr/>
  </property>
  <property fmtid="{D5CDD505-2E9C-101B-9397-08002B2CF9AE}" pid="74" name="IVID22261800">
    <vt:lpwstr/>
  </property>
  <property fmtid="{D5CDD505-2E9C-101B-9397-08002B2CF9AE}" pid="75" name="IVID325116DE">
    <vt:lpwstr/>
  </property>
  <property fmtid="{D5CDD505-2E9C-101B-9397-08002B2CF9AE}" pid="76" name="IVID81113D2">
    <vt:lpwstr/>
  </property>
  <property fmtid="{D5CDD505-2E9C-101B-9397-08002B2CF9AE}" pid="77" name="IVID1D231201">
    <vt:lpwstr/>
  </property>
  <property fmtid="{D5CDD505-2E9C-101B-9397-08002B2CF9AE}" pid="78" name="IVID366A14F0">
    <vt:lpwstr/>
  </property>
  <property fmtid="{D5CDD505-2E9C-101B-9397-08002B2CF9AE}" pid="79" name="IVID316311F9">
    <vt:lpwstr/>
  </property>
  <property fmtid="{D5CDD505-2E9C-101B-9397-08002B2CF9AE}" pid="80" name="IVIDE0715F1">
    <vt:lpwstr/>
  </property>
  <property fmtid="{D5CDD505-2E9C-101B-9397-08002B2CF9AE}" pid="81" name="IVID3B5816EC">
    <vt:lpwstr/>
  </property>
  <property fmtid="{D5CDD505-2E9C-101B-9397-08002B2CF9AE}" pid="82" name="IVID351414F8">
    <vt:lpwstr/>
  </property>
  <property fmtid="{D5CDD505-2E9C-101B-9397-08002B2CF9AE}" pid="83" name="IVID2F251AE7">
    <vt:lpwstr/>
  </property>
  <property fmtid="{D5CDD505-2E9C-101B-9397-08002B2CF9AE}" pid="84" name="IVID2A5E1D03">
    <vt:lpwstr/>
  </property>
  <property fmtid="{D5CDD505-2E9C-101B-9397-08002B2CF9AE}" pid="85" name="IVID306310DF">
    <vt:lpwstr/>
  </property>
  <property fmtid="{D5CDD505-2E9C-101B-9397-08002B2CF9AE}" pid="86" name="IVID266F16CF">
    <vt:lpwstr/>
  </property>
  <property fmtid="{D5CDD505-2E9C-101B-9397-08002B2CF9AE}" pid="87" name="IVID307414D1">
    <vt:lpwstr/>
  </property>
  <property fmtid="{D5CDD505-2E9C-101B-9397-08002B2CF9AE}" pid="88" name="IVID344B1400">
    <vt:lpwstr/>
  </property>
  <property fmtid="{D5CDD505-2E9C-101B-9397-08002B2CF9AE}" pid="89" name="IVID135B1DF5">
    <vt:lpwstr/>
  </property>
  <property fmtid="{D5CDD505-2E9C-101B-9397-08002B2CF9AE}" pid="90" name="IVID1A3716D3">
    <vt:lpwstr/>
  </property>
  <property fmtid="{D5CDD505-2E9C-101B-9397-08002B2CF9AE}" pid="91" name="IVIDD1916DB">
    <vt:lpwstr/>
  </property>
  <property fmtid="{D5CDD505-2E9C-101B-9397-08002B2CF9AE}" pid="92" name="IVID11431AF1">
    <vt:lpwstr/>
  </property>
  <property fmtid="{D5CDD505-2E9C-101B-9397-08002B2CF9AE}" pid="93" name="IVID1B2C19F3">
    <vt:lpwstr/>
  </property>
  <property fmtid="{D5CDD505-2E9C-101B-9397-08002B2CF9AE}" pid="94" name="IVIDD5E0FE6">
    <vt:lpwstr/>
  </property>
  <property fmtid="{D5CDD505-2E9C-101B-9397-08002B2CF9AE}" pid="95" name="IVID162D1605">
    <vt:lpwstr/>
  </property>
  <property fmtid="{D5CDD505-2E9C-101B-9397-08002B2CF9AE}" pid="96" name="IVID28741007">
    <vt:lpwstr/>
  </property>
  <property fmtid="{D5CDD505-2E9C-101B-9397-08002B2CF9AE}" pid="97" name="IVID2A3614FA">
    <vt:lpwstr/>
  </property>
  <property fmtid="{D5CDD505-2E9C-101B-9397-08002B2CF9AE}" pid="98" name="IVID107516EB">
    <vt:lpwstr/>
  </property>
  <property fmtid="{D5CDD505-2E9C-101B-9397-08002B2CF9AE}" pid="99" name="IVID17063A1C">
    <vt:lpwstr/>
  </property>
  <property fmtid="{D5CDD505-2E9C-101B-9397-08002B2CF9AE}" pid="100" name="IVID12611ADE">
    <vt:lpwstr/>
  </property>
  <property fmtid="{D5CDD505-2E9C-101B-9397-08002B2CF9AE}" pid="101" name="IVID322814F3">
    <vt:lpwstr/>
  </property>
  <property fmtid="{D5CDD505-2E9C-101B-9397-08002B2CF9AE}" pid="102" name="IVID32A1AF8">
    <vt:lpwstr/>
  </property>
  <property fmtid="{D5CDD505-2E9C-101B-9397-08002B2CF9AE}" pid="103" name="IVID252617FB">
    <vt:lpwstr/>
  </property>
  <property fmtid="{D5CDD505-2E9C-101B-9397-08002B2CF9AE}" pid="104" name="IVID417511F3">
    <vt:lpwstr/>
  </property>
  <property fmtid="{D5CDD505-2E9C-101B-9397-08002B2CF9AE}" pid="105" name="IVID137812E5">
    <vt:lpwstr/>
  </property>
  <property fmtid="{D5CDD505-2E9C-101B-9397-08002B2CF9AE}" pid="106" name="IVID2F521CD0">
    <vt:lpwstr/>
  </property>
  <property fmtid="{D5CDD505-2E9C-101B-9397-08002B2CF9AE}" pid="107" name="IVID2F3614DB">
    <vt:lpwstr/>
  </property>
  <property fmtid="{D5CDD505-2E9C-101B-9397-08002B2CF9AE}" pid="108" name="IVID153A11E5">
    <vt:lpwstr/>
  </property>
  <property fmtid="{D5CDD505-2E9C-101B-9397-08002B2CF9AE}" pid="109" name="IVID3A5212F6">
    <vt:lpwstr/>
  </property>
  <property fmtid="{D5CDD505-2E9C-101B-9397-08002B2CF9AE}" pid="110" name="IVIDD4717F1">
    <vt:lpwstr/>
  </property>
  <property fmtid="{D5CDD505-2E9C-101B-9397-08002B2CF9AE}" pid="111" name="IVID2C321DD4">
    <vt:lpwstr/>
  </property>
  <property fmtid="{D5CDD505-2E9C-101B-9397-08002B2CF9AE}" pid="112" name="IVIDC8EDD935">
    <vt:lpwstr/>
  </property>
  <property fmtid="{D5CDD505-2E9C-101B-9397-08002B2CF9AE}" pid="113" name="IVID8C6ADA02">
    <vt:lpwstr/>
  </property>
  <property fmtid="{D5CDD505-2E9C-101B-9397-08002B2CF9AE}" pid="114" name="IVID18337105">
    <vt:lpwstr/>
  </property>
  <property fmtid="{D5CDD505-2E9C-101B-9397-08002B2CF9AE}" pid="115" name="IVID18361708">
    <vt:lpwstr/>
  </property>
  <property fmtid="{D5CDD505-2E9C-101B-9397-08002B2CF9AE}" pid="116" name="IVIDC5912FD">
    <vt:lpwstr/>
  </property>
  <property fmtid="{D5CDD505-2E9C-101B-9397-08002B2CF9AE}" pid="117" name="IVIDA5912F8">
    <vt:lpwstr/>
  </property>
  <property fmtid="{D5CDD505-2E9C-101B-9397-08002B2CF9AE}" pid="118" name="IVID0">
    <vt:lpwstr/>
  </property>
  <property fmtid="{D5CDD505-2E9C-101B-9397-08002B2CF9AE}" pid="119" name="IVIDC5E1505">
    <vt:lpwstr/>
  </property>
  <property fmtid="{D5CDD505-2E9C-101B-9397-08002B2CF9AE}" pid="120" name="IVID381B17DB">
    <vt:lpwstr/>
  </property>
  <property fmtid="{D5CDD505-2E9C-101B-9397-08002B2CF9AE}" pid="121" name="IVIDB4C16D4">
    <vt:lpwstr/>
  </property>
  <property fmtid="{D5CDD505-2E9C-101B-9397-08002B2CF9AE}" pid="122" name="IVID7D00617">
    <vt:lpwstr/>
  </property>
  <property fmtid="{D5CDD505-2E9C-101B-9397-08002B2CF9AE}" pid="123" name="IVID2F5F12F2">
    <vt:lpwstr/>
  </property>
  <property fmtid="{D5CDD505-2E9C-101B-9397-08002B2CF9AE}" pid="124" name="IVID234016E0">
    <vt:lpwstr/>
  </property>
  <property fmtid="{D5CDD505-2E9C-101B-9397-08002B2CF9AE}" pid="125" name="IVIDB0512D2">
    <vt:lpwstr/>
  </property>
  <property fmtid="{D5CDD505-2E9C-101B-9397-08002B2CF9AE}" pid="126" name="IVID401F10D0">
    <vt:lpwstr/>
  </property>
  <property fmtid="{D5CDD505-2E9C-101B-9397-08002B2CF9AE}" pid="127" name="IVID423C11D6">
    <vt:lpwstr/>
  </property>
  <property fmtid="{D5CDD505-2E9C-101B-9397-08002B2CF9AE}" pid="128" name="IVID247116DD">
    <vt:lpwstr/>
  </property>
  <property fmtid="{D5CDD505-2E9C-101B-9397-08002B2CF9AE}" pid="129" name="IVID3E6DA5A9">
    <vt:lpwstr/>
  </property>
  <property fmtid="{D5CDD505-2E9C-101B-9397-08002B2CF9AE}" pid="130" name="IVID1F4E11DC">
    <vt:lpwstr/>
  </property>
  <property fmtid="{D5CDD505-2E9C-101B-9397-08002B2CF9AE}" pid="131" name="IVID175D07E1">
    <vt:lpwstr/>
  </property>
  <property fmtid="{D5CDD505-2E9C-101B-9397-08002B2CF9AE}" pid="132" name="IVID1BFB3D23">
    <vt:lpwstr/>
  </property>
  <property fmtid="{D5CDD505-2E9C-101B-9397-08002B2CF9AE}" pid="133" name="IVID145710DE">
    <vt:lpwstr/>
  </property>
  <property fmtid="{D5CDD505-2E9C-101B-9397-08002B2CF9AE}" pid="134" name="IVID303A10E6">
    <vt:lpwstr/>
  </property>
  <property fmtid="{D5CDD505-2E9C-101B-9397-08002B2CF9AE}" pid="135" name="IVID35501AE3">
    <vt:lpwstr/>
  </property>
  <property fmtid="{D5CDD505-2E9C-101B-9397-08002B2CF9AE}" pid="136" name="IVID58A13284">
    <vt:lpwstr/>
  </property>
  <property fmtid="{D5CDD505-2E9C-101B-9397-08002B2CF9AE}" pid="137" name="IVIDCC4BD818">
    <vt:lpwstr/>
  </property>
  <property fmtid="{D5CDD505-2E9C-101B-9397-08002B2CF9AE}" pid="138" name="IVIDCC3F0238">
    <vt:lpwstr/>
  </property>
  <property fmtid="{D5CDD505-2E9C-101B-9397-08002B2CF9AE}" pid="139" name="IVID192C1002">
    <vt:lpwstr/>
  </property>
  <property fmtid="{D5CDD505-2E9C-101B-9397-08002B2CF9AE}" pid="140" name="IVID1E061164">
    <vt:lpwstr/>
  </property>
  <property fmtid="{D5CDD505-2E9C-101B-9397-08002B2CF9AE}" pid="141" name="IVIDB1F17F9">
    <vt:lpwstr/>
  </property>
  <property fmtid="{D5CDD505-2E9C-101B-9397-08002B2CF9AE}" pid="142" name="IVID906C5DD5">
    <vt:lpwstr/>
  </property>
  <property fmtid="{D5CDD505-2E9C-101B-9397-08002B2CF9AE}" pid="143" name="IVID8C686106">
    <vt:lpwstr/>
  </property>
  <property fmtid="{D5CDD505-2E9C-101B-9397-08002B2CF9AE}" pid="144" name="IVID88309F8">
    <vt:lpwstr/>
  </property>
  <property fmtid="{D5CDD505-2E9C-101B-9397-08002B2CF9AE}" pid="145" name="IVID844B2036">
    <vt:lpwstr/>
  </property>
  <property fmtid="{D5CDD505-2E9C-101B-9397-08002B2CF9AE}" pid="146" name="IVID70E39E73">
    <vt:lpwstr/>
  </property>
  <property fmtid="{D5CDD505-2E9C-101B-9397-08002B2CF9AE}" pid="147" name="IVIDA81E0A7F">
    <vt:lpwstr/>
  </property>
  <property fmtid="{D5CDD505-2E9C-101B-9397-08002B2CF9AE}" pid="148" name="IVIDAB724">
    <vt:lpwstr/>
  </property>
  <property fmtid="{D5CDD505-2E9C-101B-9397-08002B2CF9AE}" pid="149" name="IVIDB8814F9B">
    <vt:lpwstr/>
  </property>
  <property fmtid="{D5CDD505-2E9C-101B-9397-08002B2CF9AE}" pid="150" name="IVID8430A2A3">
    <vt:lpwstr/>
  </property>
  <property fmtid="{D5CDD505-2E9C-101B-9397-08002B2CF9AE}" pid="151" name="IVID42641">
    <vt:lpwstr/>
  </property>
  <property fmtid="{D5CDD505-2E9C-101B-9397-08002B2CF9AE}" pid="152" name="IVID885CD84E">
    <vt:lpwstr/>
  </property>
  <property fmtid="{D5CDD505-2E9C-101B-9397-08002B2CF9AE}" pid="153" name="IVIDD8E3E248">
    <vt:lpwstr/>
  </property>
  <property fmtid="{D5CDD505-2E9C-101B-9397-08002B2CF9AE}" pid="154" name="IVID3C181FE1">
    <vt:lpwstr/>
  </property>
  <property fmtid="{D5CDD505-2E9C-101B-9397-08002B2CF9AE}" pid="155" name="IVID2BB47A2">
    <vt:lpwstr/>
  </property>
  <property fmtid="{D5CDD505-2E9C-101B-9397-08002B2CF9AE}" pid="156" name="IVID1E5DC728">
    <vt:lpwstr/>
  </property>
  <property fmtid="{D5CDD505-2E9C-101B-9397-08002B2CF9AE}" pid="157" name="IVID8049FB9C">
    <vt:lpwstr/>
  </property>
  <property fmtid="{D5CDD505-2E9C-101B-9397-08002B2CF9AE}" pid="158" name="IVIDCC0ED55F">
    <vt:lpwstr/>
  </property>
  <property fmtid="{D5CDD505-2E9C-101B-9397-08002B2CF9AE}" pid="159" name="IVIDB85F738D">
    <vt:lpwstr/>
  </property>
  <property fmtid="{D5CDD505-2E9C-101B-9397-08002B2CF9AE}" pid="160" name="IVID10E01CE1">
    <vt:lpwstr/>
  </property>
  <property fmtid="{D5CDD505-2E9C-101B-9397-08002B2CF9AE}" pid="161" name="IVID384326D0">
    <vt:lpwstr/>
  </property>
  <property fmtid="{D5CDD505-2E9C-101B-9397-08002B2CF9AE}" pid="162" name="IVIDEC3BCD0">
    <vt:lpwstr/>
  </property>
  <property fmtid="{D5CDD505-2E9C-101B-9397-08002B2CF9AE}" pid="163" name="IVID58D17555">
    <vt:lpwstr/>
  </property>
  <property fmtid="{D5CDD505-2E9C-101B-9397-08002B2CF9AE}" pid="164" name="IVID8CEA181A">
    <vt:lpwstr/>
  </property>
  <property fmtid="{D5CDD505-2E9C-101B-9397-08002B2CF9AE}" pid="165" name="IVID86440EF4">
    <vt:lpwstr/>
  </property>
  <property fmtid="{D5CDD505-2E9C-101B-9397-08002B2CF9AE}" pid="166" name="IVIDC495490D">
    <vt:lpwstr/>
  </property>
  <property fmtid="{D5CDD505-2E9C-101B-9397-08002B2CF9AE}" pid="167" name="IVIDF24938D3">
    <vt:lpwstr/>
  </property>
  <property fmtid="{D5CDD505-2E9C-101B-9397-08002B2CF9AE}" pid="168" name="IVID87A156C">
    <vt:lpwstr/>
  </property>
  <property fmtid="{D5CDD505-2E9C-101B-9397-08002B2CF9AE}" pid="169" name="IVID2A435D80">
    <vt:lpwstr/>
  </property>
</Properties>
</file>